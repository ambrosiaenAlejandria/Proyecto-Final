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eme" sheetId="1" state="visible" r:id="rId1"/>
    <sheet xmlns:r="http://schemas.openxmlformats.org/officeDocument/2006/relationships" name="Muestra_Cafes" sheetId="2" state="visible" r:id="rId2"/>
    <sheet xmlns:r="http://schemas.openxmlformats.org/officeDocument/2006/relationships" name="Ficha_Cafe" sheetId="3" state="visible" r:id="rId3"/>
    <sheet xmlns:r="http://schemas.openxmlformats.org/officeDocument/2006/relationships" name="Encuestas" sheetId="4" state="visible" r:id="rId4"/>
    <sheet xmlns:r="http://schemas.openxmlformats.org/officeDocument/2006/relationships" name="Abordajes" sheetId="5" state="visible" r:id="rId5"/>
    <sheet xmlns:r="http://schemas.openxmlformats.org/officeDocument/2006/relationships" name="Avance" sheetId="6" state="visible" r:id="rId6"/>
    <sheet xmlns:r="http://schemas.openxmlformats.org/officeDocument/2006/relationships" name="Piloto" sheetId="7" state="visible" r:id="rId7"/>
    <sheet xmlns:r="http://schemas.openxmlformats.org/officeDocument/2006/relationships" name="Diccionario" sheetId="8" state="visible" r:id="rId8"/>
    <sheet xmlns:r="http://schemas.openxmlformats.org/officeDocument/2006/relationships" name="Listas" sheetId="9" state="visible" r:id="rId9"/>
  </sheets>
  <definedNames/>
  <calcPr calcId="124519" fullCalcOnLoad="1"/>
</workbook>
</file>

<file path=xl/styles.xml><?xml version="1.0" encoding="utf-8"?>
<styleSheet xmlns="http://schemas.openxmlformats.org/spreadsheetml/2006/main">
  <numFmts count="3">
    <numFmt numFmtId="164" formatCode="dd/mm/yyyy"/>
    <numFmt numFmtId="165" formatCode="d/m/yyyy"/>
    <numFmt numFmtId="166" formatCode="0.0"/>
  </numFmts>
  <fonts count="18">
    <font>
      <name val="Calibri"/>
      <color theme="1"/>
      <sz val="11"/>
      <scheme val="minor"/>
    </font>
    <font>
      <name val="Arial"/>
      <b val="1"/>
      <color theme="1"/>
      <sz val="12"/>
    </font>
    <font>
      <name val="Arial"/>
      <color theme="1"/>
      <sz val="10"/>
    </font>
    <font>
      <name val="Arial"/>
      <b val="1"/>
      <color theme="1"/>
      <sz val="10"/>
    </font>
    <font>
      <name val="Arial"/>
      <b val="1"/>
      <color rgb="FFFFFFFF"/>
      <sz val="10"/>
    </font>
    <font>
      <name val="Arial"/>
      <i val="1"/>
      <color rgb="FF7F7F7F"/>
      <sz val="10"/>
    </font>
    <font>
      <name val="Arial"/>
      <color rgb="FF0000FF"/>
      <sz val="10"/>
      <u val="single"/>
    </font>
    <font>
      <name val="Arial"/>
      <color rgb="FF666666"/>
      <sz val="10"/>
    </font>
    <font>
      <name val="Arial"/>
      <i val="1"/>
      <color rgb="FF0000FF"/>
      <sz val="10"/>
      <u val="single"/>
    </font>
    <font>
      <name val="Arial"/>
      <i val="1"/>
      <color rgb="FF999999"/>
      <sz val="10"/>
    </font>
    <font>
      <name val="Arial"/>
      <i val="1"/>
      <color theme="1"/>
      <sz val="9"/>
    </font>
    <font>
      <name val="Calibri"/>
      <color theme="1"/>
      <scheme val="minor"/>
    </font>
    <font>
      <b val="1"/>
      <color rgb="FFFFFFFF"/>
      <sz val="10"/>
    </font>
    <font>
      <i val="1"/>
      <color rgb="FF7F7F7F"/>
      <sz val="10"/>
    </font>
    <font>
      <name val="Arial"/>
      <color rgb="FF7F7F7F"/>
      <sz val="10"/>
    </font>
    <font>
      <b val="1"/>
      <sz val="11"/>
    </font>
    <font>
      <sz val="10"/>
    </font>
    <font>
      <b val="1"/>
      <sz val="10"/>
    </font>
  </fonts>
  <fills count="10">
    <fill>
      <patternFill/>
    </fill>
    <fill>
      <patternFill patternType="lightGray"/>
    </fill>
    <fill>
      <patternFill patternType="solid">
        <fgColor rgb="FF4E342E"/>
        <bgColor rgb="FF4E342E"/>
      </patternFill>
    </fill>
    <fill>
      <patternFill patternType="solid">
        <fgColor rgb="FF8D6E63"/>
        <bgColor rgb="FF8D6E63"/>
      </patternFill>
    </fill>
    <fill>
      <patternFill patternType="solid">
        <fgColor rgb="FFFFF9C4"/>
        <bgColor rgb="FFFFF9C4"/>
      </patternFill>
    </fill>
    <fill>
      <patternFill patternType="solid">
        <fgColor rgb="FFE0E0E0"/>
        <bgColor rgb="FFE0E0E0"/>
      </patternFill>
    </fill>
    <fill>
      <patternFill patternType="solid">
        <fgColor rgb="FFBF6A2B"/>
      </patternFill>
    </fill>
    <fill>
      <patternFill patternType="solid">
        <fgColor rgb="FF4E342E"/>
      </patternFill>
    </fill>
    <fill>
      <patternFill patternType="solid">
        <fgColor rgb="FFFFF9C4"/>
      </patternFill>
    </fill>
    <fill>
      <patternFill patternType="solid">
        <fgColor rgb="FFFFE0B2"/>
      </patternFill>
    </fill>
  </fills>
  <borders count="3">
    <border/>
    <border>
      <left/>
      <right/>
      <top/>
      <bottom/>
    </border>
    <border>
      <left style="thin">
        <color rgb="FFBDBDBD"/>
      </left>
      <right style="thin">
        <color rgb="FFBDBDBD"/>
      </right>
      <top style="thin">
        <color rgb="FFBDBDBD"/>
      </top>
      <bottom style="thin">
        <color rgb="FFBDBDBD"/>
      </bottom>
    </border>
  </borders>
  <cellStyleXfs count="1">
    <xf numFmtId="0" fontId="0" fillId="0" borderId="0"/>
  </cellStyleXfs>
  <cellXfs count="62">
    <xf numFmtId="0" fontId="0" fillId="0" borderId="0" applyAlignment="1" pivotButton="0" quotePrefix="0" xfId="0">
      <alignment vertical="bottom"/>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0" borderId="0" applyAlignment="1" pivotButton="0" quotePrefix="0" xfId="0">
      <alignment vertical="top"/>
    </xf>
    <xf numFmtId="0" fontId="4" fillId="3" borderId="1" applyAlignment="1" pivotButton="0" quotePrefix="0" xfId="0">
      <alignment horizontal="center" vertical="center" wrapText="1"/>
    </xf>
    <xf numFmtId="0" fontId="2" fillId="0" borderId="0" applyAlignment="1" pivotButton="0" quotePrefix="0" xfId="0">
      <alignment vertical="bottom"/>
    </xf>
    <xf numFmtId="0" fontId="5" fillId="4" borderId="1" applyAlignment="1" pivotButton="0" quotePrefix="0" xfId="0">
      <alignment vertical="bottom"/>
    </xf>
    <xf numFmtId="164" fontId="5" fillId="4" borderId="1" applyAlignment="1" pivotButton="0" quotePrefix="0" xfId="0">
      <alignment vertical="bottom"/>
    </xf>
    <xf numFmtId="165" fontId="2" fillId="0" borderId="0" applyAlignment="1" pivotButton="0" quotePrefix="0" xfId="0">
      <alignment vertical="top"/>
    </xf>
    <xf numFmtId="0" fontId="2" fillId="0" borderId="0" applyAlignment="1" pivotButton="0" quotePrefix="0" xfId="0">
      <alignment vertical="bottom"/>
    </xf>
    <xf numFmtId="164" fontId="2" fillId="0" borderId="0" applyAlignment="1" pivotButton="0" quotePrefix="0" xfId="0">
      <alignment vertical="bottom"/>
    </xf>
    <xf numFmtId="0" fontId="6" fillId="0" borderId="0" applyAlignment="1" pivotButton="0" quotePrefix="0" xfId="0">
      <alignment vertical="top" wrapText="1"/>
    </xf>
    <xf numFmtId="166" fontId="5" fillId="5" borderId="1" applyAlignment="1" pivotButton="0" quotePrefix="0" xfId="0">
      <alignment vertical="bottom"/>
    </xf>
    <xf numFmtId="0" fontId="2" fillId="0" borderId="0" applyAlignment="1" pivotButton="0" quotePrefix="0" xfId="0">
      <alignment vertical="top" wrapText="1"/>
    </xf>
    <xf numFmtId="0" fontId="2" fillId="0" borderId="0" applyAlignment="1" pivotButton="0" quotePrefix="0" xfId="0">
      <alignment vertical="top"/>
    </xf>
    <xf numFmtId="0" fontId="5" fillId="5" borderId="1" applyAlignment="1" pivotButton="0" quotePrefix="0" xfId="0">
      <alignment vertical="bottom"/>
    </xf>
    <xf numFmtId="0" fontId="4" fillId="2" borderId="1" applyAlignment="1" pivotButton="0" quotePrefix="0" xfId="0">
      <alignment horizontal="center" vertical="bottom"/>
    </xf>
    <xf numFmtId="166" fontId="2" fillId="5" borderId="1" applyAlignment="1" pivotButton="0" quotePrefix="0" xfId="0">
      <alignment vertical="bottom"/>
    </xf>
    <xf numFmtId="0" fontId="2" fillId="5" borderId="1" applyAlignment="1" pivotButton="0" quotePrefix="0" xfId="0">
      <alignment vertical="bottom"/>
    </xf>
    <xf numFmtId="9" fontId="2" fillId="0" borderId="0" applyAlignment="1" pivotButton="0" quotePrefix="0" xfId="0">
      <alignment vertical="bottom"/>
    </xf>
    <xf numFmtId="164" fontId="2" fillId="0" borderId="0"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vertical="top" wrapText="1"/>
    </xf>
    <xf numFmtId="0" fontId="7" fillId="0" borderId="0" applyAlignment="1" pivotButton="0" quotePrefix="0" xfId="0">
      <alignment vertical="bottom"/>
    </xf>
    <xf numFmtId="0" fontId="8" fillId="0" borderId="0" applyAlignment="1" pivotButton="0" quotePrefix="0" xfId="0">
      <alignment vertical="top"/>
    </xf>
    <xf numFmtId="0" fontId="9" fillId="0" borderId="0" pivotButton="0" quotePrefix="0" xfId="0"/>
    <xf numFmtId="0" fontId="5" fillId="0" borderId="0" applyAlignment="1" pivotButton="0" quotePrefix="0" xfId="0">
      <alignment vertical="top" wrapText="1"/>
    </xf>
    <xf numFmtId="0" fontId="10" fillId="0" borderId="0" applyAlignment="1" pivotButton="0" quotePrefix="0" xfId="0">
      <alignment vertical="top"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0" borderId="0" applyAlignment="1" pivotButton="0" quotePrefix="0" xfId="0">
      <alignment vertical="bottom"/>
    </xf>
    <xf numFmtId="9" fontId="3" fillId="0" borderId="0" applyAlignment="1" pivotButton="0" quotePrefix="0" xfId="0">
      <alignment vertical="bottom"/>
    </xf>
    <xf numFmtId="165" fontId="11" fillId="0" borderId="0" pivotButton="0" quotePrefix="0" xfId="0"/>
    <xf numFmtId="0" fontId="11" fillId="0" borderId="0" pivotButton="0" quotePrefix="0" xfId="0"/>
    <xf numFmtId="0" fontId="3" fillId="0" borderId="0" pivotButton="0" quotePrefix="0" xfId="0"/>
    <xf numFmtId="0" fontId="10" fillId="0" borderId="0" applyAlignment="1" pivotButton="0" quotePrefix="0" xfId="0">
      <alignment vertical="bottom"/>
    </xf>
    <xf numFmtId="20" fontId="11" fillId="0" borderId="0" pivotButton="0" quotePrefix="0" xfId="0"/>
    <xf numFmtId="0" fontId="4" fillId="2" borderId="1" applyAlignment="1" pivotButton="0" quotePrefix="0" xfId="0">
      <alignment horizontal="center" vertical="bottom" wrapText="1"/>
    </xf>
    <xf numFmtId="0" fontId="2" fillId="0" borderId="2" applyAlignment="1" pivotButton="0" quotePrefix="0" xfId="0">
      <alignment vertical="top" wrapText="1"/>
    </xf>
    <xf numFmtId="0" fontId="2" fillId="0" borderId="2" applyAlignment="1" pivotButton="0" quotePrefix="0" xfId="0">
      <alignment vertical="top" wrapText="1"/>
    </xf>
    <xf numFmtId="0" fontId="0" fillId="0" borderId="0" pivotButton="0" quotePrefix="0" xfId="0"/>
    <xf numFmtId="0" fontId="4" fillId="6" borderId="1" applyAlignment="1" pivotButton="0" quotePrefix="0" xfId="0">
      <alignment horizontal="center" vertical="center" wrapText="1"/>
    </xf>
    <xf numFmtId="49" fontId="2" fillId="0" borderId="0" applyAlignment="1" pivotButton="0" quotePrefix="0" xfId="0">
      <alignment vertical="bottom"/>
    </xf>
    <xf numFmtId="0" fontId="12" fillId="7" borderId="0" applyAlignment="1" pivotButton="0" quotePrefix="0" xfId="0">
      <alignment vertical="center" wrapText="1"/>
    </xf>
    <xf numFmtId="0" fontId="13" fillId="8" borderId="0" pivotButton="0" quotePrefix="0" xfId="0"/>
    <xf numFmtId="164" fontId="13" fillId="8" borderId="0" pivotButton="0" quotePrefix="0" xfId="0"/>
    <xf numFmtId="164" fontId="0" fillId="0" borderId="0" pivotButton="0" quotePrefix="0" xfId="0"/>
    <xf numFmtId="49" fontId="0" fillId="0" borderId="0" pivotButton="0" quotePrefix="0" xfId="0"/>
    <xf numFmtId="0" fontId="14" fillId="0" borderId="0" applyAlignment="1" pivotButton="0" quotePrefix="0" xfId="0">
      <alignment vertical="top" wrapText="1"/>
    </xf>
    <xf numFmtId="0" fontId="14" fillId="0" borderId="0" applyAlignment="1" pivotButton="0" quotePrefix="0" xfId="0">
      <alignment vertical="top"/>
    </xf>
    <xf numFmtId="49" fontId="11" fillId="0" borderId="0" pivotButton="0" quotePrefix="0" xfId="0"/>
    <xf numFmtId="49" fontId="11" fillId="0" borderId="0" pivotButton="0" quotePrefix="0" xfId="0"/>
    <xf numFmtId="0" fontId="15" fillId="0" borderId="0" pivotButton="0" quotePrefix="0" xfId="0"/>
    <xf numFmtId="0" fontId="12" fillId="7" borderId="0" pivotButton="0" quotePrefix="0" xfId="0"/>
    <xf numFmtId="0" fontId="16" fillId="0" borderId="0" applyAlignment="1" pivotButton="0" quotePrefix="0" xfId="0">
      <alignment vertical="top" wrapText="1"/>
    </xf>
    <xf numFmtId="0" fontId="2" fillId="9" borderId="2" applyAlignment="1" pivotButton="0" quotePrefix="0" xfId="0">
      <alignment vertical="top" wrapText="1"/>
    </xf>
    <xf numFmtId="0" fontId="17" fillId="9" borderId="0" applyAlignment="1" pivotButton="0" quotePrefix="0" xfId="0">
      <alignment vertical="top" wrapText="1"/>
    </xf>
  </cellXfs>
  <cellStyles count="1">
    <cellStyle name="Normal" xfId="0" builtinId="0"/>
  </cellStyles>
  <dxfs count="1">
    <dxf>
      <font/>
      <fill>
        <patternFill patternType="solid">
          <fgColor rgb="FFFFE0B2"/>
          <bgColor rgb="FFFFE0B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Revisión</author>
  </authors>
  <commentList>
    <comment ref="Q1" authorId="0" shapeId="0">
      <text>
        <t>Criterio de especialidad (ver Leeme). (a) aparece en una fuente externa verificable; (b) vende café de origen identificado y se confirma en la visita; «Verificar antes de salir» = la evidencia actual no alcanza. Propuesta: ajústenla.</t>
      </text>
    </comment>
  </commentList>
</comments>
</file>

<file path=xl/comments/comment2.xml><?xml version="1.0" encoding="utf-8"?>
<comments xmlns="http://schemas.openxmlformats.org/spreadsheetml/2006/main">
  <authors>
    <author>None</author>
  </authors>
  <commentList>
    <comment ref="A1" authorId="0" shapeId="0">
      <text>
        <t>======
ID#doco.-PzlpCMewKaN4ciBqdh_7A
Unknown Author    (2026-10-28 13:13:34)
ID único del café (C01–C10; P1–P2 piloto; R1–R4 reemplazos)</t>
      </text>
    </comment>
    <comment ref="B1" authorId="0" shapeId="0">
      <text>
        <t>======
ID#doco.NYp87tZL6_ibw-_ctnVoXA
Unknown Author    (2026-10-28 13:13:34)
ID del café en el shapefile de la Entrega 3a (NO la dirección; la dirección está en Muestra_Cafes)</t>
      </text>
    </comment>
    <comment ref="D1" authorId="0" shapeId="0">
      <text>
        <t>======
ID#doco.fxRxSFb9vm86SwpFbYkhSA
Unknown Author    (2026-10-28 13:13:34)
Nombre del negocio</t>
      </text>
    </comment>
    <comment ref="E1" authorId="0" shapeId="0">
      <text>
        <t>======
ID#doco.44RA_zxTst7wzPZ63qLzKg
Unknown Author    (2026-10-28 13:13:34)
Localidad donde está el café | Valores: Chapinero | Usaquén | Teusaquillo | Barrios Unidos | Santa Fe | La Candelaria | Suba | Otra</t>
      </text>
    </comment>
    <comment ref="F1" authorId="0" shapeId="0">
      <text>
        <t>======
ID#doco.yB2nYahpFWWr3VFPRzWEoA
Unknown Author    (2026-10-28 13:13:34)
Estrato geográfico del muestreo | Valores: Z1 Parkway–Teusaquillo | Z2 La Macarena | Z3 Centro</t>
      </text>
    </comment>
    <comment ref="G1" authorId="0" shapeId="0">
      <text>
        <t>======
ID#doco.tP202HCmjtDxBBKAPM2RKA
Unknown Author    (2026-10-28 13:13:34)
Tipo de negocio | Valores: Independiente (1 local) | Pequeña cadena (2–5 locales) | Cadena grande (6+ locales) | Tostadora con cafetería</t>
      </text>
    </comment>
    <comment ref="H1" authorId="0" shapeId="0">
      <text>
        <t>======
ID#doco.g-Vab85EbO8DA2wtQdhDNg
Unknown Author    (2026-10-28 13:13:34)
Fecha de la visita</t>
      </text>
    </comment>
    <comment ref="I1" authorId="0" shapeId="0">
      <text>
        <t>======
ID#doco.FVHDxKquYHVjakEduuYbBA
Unknown Author    (2026-10-28 13:13:34)
Tipo de día | Valores: Entre semana | Fin de semana</t>
      </text>
    </comment>
    <comment ref="J1" authorId="0" shapeId="0">
      <text>
        <t>======
ID#doco.Mu1WgxAcTblfb3eYX44QEA
Unknown Author    (2026-10-28 13:13:34)
Franja horaria de la visita | Valores: Mañana (8–11) | Tarde (14–17)</t>
      </text>
    </comment>
    <comment ref="K1" authorId="0" shapeId="0">
      <text>
        <t>======
ID#doco.lCcHhrdqVYnbwzmH6SwEOA
Unknown Author    (2026-10-28 13:13:34)
Quién llenó la ficha (A, B o C)</t>
      </text>
    </comment>
    <comment ref="L1" authorId="0" shapeId="0">
      <text>
        <t>======
ID#doco.5tL2xHO-QEqv9RGNj-Hzxg
Unknown Author    (2026-10-28 13:13:34)
El administrador autorizó la visita y las fotos del espacio (1 = sí, 0 = no)</t>
      </text>
    </comment>
    <comment ref="M1" authorId="0" shapeId="0">
      <text>
        <t>======
ID#doco.t-qnjPeCJhVuxlXHfbh-AQ
Unknown Author    (2026-10-28 13:13:34)
La carta o menú menciona el origen del café (región, finca o productor) | 1 = presente · 0 = ausente · vacío = no se pudo revisar</t>
      </text>
    </comment>
    <comment ref="N1" authorId="0" shapeId="0">
      <text>
        <t>======
ID#doco.97PXc8yNSZ1KxpM4F4jGdA
Unknown Author    (2026-10-28 13:13:34)
Hay explicación visible del proceso o método (carteles, pizarra, barra) | 1 = presente · 0 = ausente · vacío = no se pudo revisar</t>
      </text>
    </comment>
    <comment ref="O1" authorId="0" shapeId="0">
      <text>
        <t>======
ID#doco.TExEh0E8uNqFMRAaq8w6hQ
Unknown Author    (2026-10-28 13:13:34)
La historia o filosofía del negocio es visible en el local (muro, carta, QR) | 1 = presente · 0 = ausente · vacío = no se pudo revisar</t>
      </text>
    </comment>
    <comment ref="P1" authorId="0" shapeId="0">
      <text>
        <t>======
ID#doco.8LPHm2uFayoMELo22Tntig
Unknown Author    (2026-10-28 13:13:34)
Al preguntar «¿de dónde es este café?», el personal responde con un dato específico (región, finca o productor) | 1 = presente · 0 = ausente · vacío = no se pudo revisar</t>
      </text>
    </comment>
    <comment ref="Q1" authorId="0" shapeId="0">
      <text>
        <t>======
ID#doco.D-k7pHxGrTF4y6ikOhA22w
Unknown Author    (2026-10-28 13:13:34)
Ofrece catas, talleres, recorridos o experiencias guiadas (anunciadas o disponibles) | 1 = presente · 0 = ausente · vacío = no se pudo revisar</t>
      </text>
    </comment>
    <comment ref="R1" authorId="0" shapeId="0">
      <text>
        <t>======
ID#doco.xT5NZijD51fFi6ZbC5s3bg
Unknown Author    (2026-10-28 13:13:34)
Vende café en grano o empaque con información de origen y tostión | 1 = presente · 0 = ausente · vacío = no se pudo revisar</t>
      </text>
    </comment>
    <comment ref="S1" authorId="0" shapeId="0">
      <text>
        <t>======
ID#doco.AHSQ_l-dy9Xnwc4QSLxUGA
Unknown Author    (2026-10-28 13:13:34)
Identidad visual coherente (diseño, colores, logo, mobiliario) | 1 = presente · 0 = ausente · vacío = no se pudo revisar</t>
      </text>
    </comment>
    <comment ref="T1" authorId="0" shapeId="0">
      <text>
        <t>======
ID#doco.vNTCnrzBb0u0cdGU27C-ug
Unknown Author    (2026-10-28 13:13:34)
Iluminación agradable (natural o cálida) | 1 = presente · 0 = ausente · vacío = no se pudo revisar</t>
      </text>
    </comment>
    <comment ref="U1" authorId="0" shapeId="0">
      <text>
        <t>======
ID#doco.P98H2stcMo6olYTKBOzOpA
Unknown Author    (2026-10-28 13:13:34)
Música ambiente presente y a un volumen que permite conversar | 1 = presente · 0 = ausente · vacío = no se pudo revisar</t>
      </text>
    </comment>
    <comment ref="V1" authorId="0" shapeId="0">
      <text>
        <t>======
ID#doco.871ig6HjS_jhRVG8es-lKg
Unknown Author    (2026-10-28 13:13:34)
Aroma a café perceptible al entrar | 1 = presente · 0 = ausente · vacío = no se pudo revisar</t>
      </text>
    </comment>
    <comment ref="W1" authorId="0" shapeId="0">
      <text>
        <t>======
ID#doco.lSu7BjcKa3QxnphkTra_7g
Unknown Author    (2026-10-28 13:13:34)
Zonas diferenciadas (barra, mesas, zona de trabajo, exterior) | 1 = presente · 0 = ausente · vacío = no se pudo revisar</t>
      </text>
    </comment>
    <comment ref="X1" authorId="0" shapeId="0">
      <text>
        <t>======
ID#doco.WpIs5wiSYbLjr_UJ3DjRmg
Unknown Author    (2026-10-28 13:13:34)
Mobiliario cómodo (sillas con espaldar, sofás, mesas suficientes) | 1 = presente · 0 = ausente · vacío = no se pudo revisar</t>
      </text>
    </comment>
    <comment ref="Y1" authorId="0" shapeId="0">
      <text>
        <t>======
ID#doco.r9DkWakp797jjOPAvaUXFQ
Unknown Author    (2026-10-28 13:13:34)
Barra de preparación a la vista del cliente | 1 = presente · 0 = ausente · vacío = no se pudo revisar</t>
      </text>
    </comment>
    <comment ref="Z1" authorId="0" shapeId="0">
      <text>
        <t>======
ID#doco.ylSkUwTxnnyE7eAkRtk1yQ
Unknown Author    (2026-10-28 13:13:34)
Elementos decorativos alusivos al café (origen, utensilios, plantas, arte) | 1 = presente · 0 = ausente · vacío = no se pudo revisar</t>
      </text>
    </comment>
    <comment ref="AA1" authorId="0" shapeId="0">
      <text>
        <t>======
ID#doco.ApEApWbBJclNjP9mFxq6uQ
Unknown Author    (2026-10-28 13:13:34)
Índice de storytelling = st1+…+st6 (0–6). Solo se calcula si los 6 ítems están registrados.</t>
      </text>
    </comment>
    <comment ref="AB1" authorId="0" shapeId="0">
      <text>
        <t>======
ID#doco.539DUT1OgygjKUJjSIpugw
Unknown Author    (2026-10-28 13:13:34)
Índice de ambientación = am1+…+am8 (0–8). Solo se calcula si los 8 ítems están registrados.</t>
      </text>
    </comment>
    <comment ref="AC1" authorId="0" shapeId="0">
      <text>
        <t>======
ID#doco.WdFn-N1jzgOfFIeeDQI7nQ
Unknown Author    (2026-10-28 13:13:34)
Índice de storytelling reescalado a 0–10</t>
      </text>
    </comment>
    <comment ref="AD1" authorId="0" shapeId="0">
      <text>
        <t>======
ID#doco.t0AwEvDtJNyHjOQh7LfB1w
Unknown Author    (2026-10-28 13:13:34)
Índice de ambientación reescalado a 0–10</t>
      </text>
    </comment>
    <comment ref="AE1" authorId="0" shapeId="0">
      <text>
        <t>======
ID#doco.oSLM_1evUukqj8bywytMgw
Unknown Author    (2026-10-28 13:13:34)
Control: cuántos de los 14 ítems (st y am) están registrados. Un ítem vacío NO es un 0.</t>
      </text>
    </comment>
    <comment ref="AF1" authorId="0" shapeId="0">
      <text>
        <t>======
ID#doco.VnzeLkS8fCydMDKV3QbzVA
Unknown Author    (2026-10-28 13:13:34)
Tiene cuenta de Instagram activa, con al menos una publicación en los últimos 90 días (1 = sí, 0 = no)</t>
      </text>
    </comment>
    <comment ref="AG1" authorId="0" shapeId="0">
      <text>
        <t>======
ID#doco.g1BuigdMSEOCq1oIARcrrA
Unknown Author    (2026-10-28 13:13:34)
Calificación en Google Maps (1.0–5.0); vacío si no tiene ficha</t>
      </text>
    </comment>
    <comment ref="AH1" authorId="0" shapeId="0">
      <text>
        <t>======
ID#doco.Y773L-pSTwOAQK6pBBNM4A
Unknown Author    (2026-10-28 13:13:34)
Número de reseñas en Google Maps; vacío si no tiene ficha</t>
      </text>
    </comment>
    <comment ref="AI1" authorId="0" shapeId="0">
      <text>
        <t>======
ID#doco.bWoEEZ8eImPALhyP28ck5g
Unknown Author    (2026-10-28 13:13:34)
Se tomaron fotos del espacio sin personas identificables (1 = sí, 0 = no)</t>
      </text>
    </comment>
    <comment ref="AJ1" authorId="0" shapeId="0">
      <text>
        <t>======
ID#doco.aKJhzOUlVK-FPStAsfM4vA
Unknown Author    (2026-10-28 13:13:34)
Observaciones cualitativas (hechos relevantes del lugar o de la visita; ítems que no se pudieron revisar)</t>
      </text>
    </comment>
  </commentList>
</comments>
</file>

<file path=xl/comments/comment3.xml><?xml version="1.0" encoding="utf-8"?>
<comments xmlns="http://schemas.openxmlformats.org/spreadsheetml/2006/main">
  <authors>
    <author>None</author>
    <author>Base de datos</author>
  </authors>
  <commentList>
    <comment ref="A1" authorId="0" shapeId="0">
      <text>
        <t>======
ID#doco.2U3fv6SXDJkZ0q7Bc-T9Ng
Unknown Author    (2026-10-28 13:13:34)
ID único de la encuesta (E-cafe-número, p. ej. E-C01-01)</t>
      </text>
    </comment>
    <comment ref="B1" authorId="0" shapeId="0">
      <text>
        <t>======
ID#doco.qC3UXQXhpfswmWEruPi8Bw
Unknown Author    (2026-10-28 13:13:34)
ID del café donde se hizo la encuesta</t>
      </text>
    </comment>
    <comment ref="C1" authorId="0" shapeId="0">
      <text>
        <t>======
ID#doco.x-rXrE0rF25zhqFtcPq4gw
Unknown Author    (2026-10-28 13:13:34)
Fecha</t>
      </text>
    </comment>
    <comment ref="D1" authorId="0" shapeId="0">
      <text>
        <t>======
ID#doco.J-VultWMzU-VEcCXnipsdQ
Unknown Author    (2026-10-28 13:13:34)
Hora de inicio (HH:MM)</t>
      </text>
    </comment>
    <comment ref="E1" authorId="0" shapeId="0">
      <text>
        <t>======
ID#doco.qfPOYp1ZChHUvFE61EpUaA
Unknown Author    (2026-10-28 13:13:34)
Quién aplicó la encuesta (A, B o C)</t>
      </text>
    </comment>
    <comment ref="F1" authorId="0" shapeId="0">
      <text>
        <t>======
ID#doco.-aHYCLBRhcFHCvPZ3m5SYQ
Unknown Author    (2026-10-28 13:13:34)
Mayor de 18 años y aceptó participar (1 = sí). Si es 0 no se registra la encuesta.</t>
      </text>
    </comment>
    <comment ref="G1" authorId="1" shapeId="0">
      <text>
        <t>1. ¿Con qué frecuencia viene a este café? | Primera vez | Menos de 1 vez al mes | 1–3 veces al mes | Semanal</t>
      </text>
    </comment>
    <comment ref="H1" authorId="1" shapeId="0">
      <text>
        <t>2. ¿Cuál es el motivo principal de su visita de hoy? | Trabajo o estudio | Reunión social | Probar café de especialidad | Salir de la rutina | Otro</t>
      </text>
    </comment>
    <comment ref="I1" authorId="0" shapeId="0">
      <text>
        <t>======
ID#doco.cXHuI1H8pVVZIycPSeG1XQ
Unknown Author    (2026-10-28 13:13:34)
3. ¿Cómo conoció este café? | Redes sociales | Recomendación | Pasó por el lugar | Google Maps u otra app | Otro</t>
      </text>
    </comment>
    <comment ref="J1" authorId="1" shapeId="0">
      <text>
        <t>4. ¿Cuánto tiempo planea quedarse hoy? (minutos aproximados) | Menos de 15 minutos | 15-30 minutos | 30-60 minutos | Más de 1 hora</t>
      </text>
    </comment>
    <comment ref="K1" authorId="1" shapeId="0">
      <text>
        <t>5. El ambiente de este café es agradable (1 = totalmente en desacuerdo … 5 = totalmente de acuerdo)</t>
      </text>
    </comment>
    <comment ref="L1" authorId="1" shapeId="0">
      <text>
        <t>6. Este café se siente distinto a otras cafeterías de especialidad (1–5)</t>
      </text>
    </comment>
    <comment ref="M1" authorId="1" shapeId="0">
      <text>
        <t>7. En este café me han explicado o he podido conocer el origen del café (1 = sí, 0 = no)</t>
      </text>
    </comment>
    <comment ref="N1" authorId="1" shapeId="0">
      <text>
        <t>8. La historia de este café me resulta interesante o me conecta con él (1–5)</t>
      </text>
    </comment>
    <comment ref="O1" authorId="1" shapeId="0">
      <text>
        <t>9. La calidad del café aquí es alta (1–5)</t>
      </text>
    </comment>
    <comment ref="P1" authorId="1" shapeId="0">
      <text>
        <t>10. La atención aquí es rápida y amable (1–5)</t>
      </text>
    </comment>
    <comment ref="Q1" authorId="1" shapeId="0">
      <text>
        <t>11. ¿Cuál de las siguientes afirmaciones describe mejor lo que siente cuando visita este café y conoce su historia? Conexión · Identidad/Pertenencia · Bienestar · Indiferencia. Se registra 0 = Indiferencia, 1 = Conexión, Identidad/Pertenencia o Bienestar.</t>
      </text>
    </comment>
    <comment ref="R1" authorId="1" shapeId="0">
      <text>
        <t>12. ¿Puede decir de dónde viene el café que toma o algún dato de la historia de este café? (1 = menciona espontáneamente al menos un dato concreto, 0 = no)</t>
      </text>
    </comment>
    <comment ref="S1" authorId="1" shapeId="0">
      <text>
        <t>13. Del 0 al 10, ¿qué tan probable es que recomiende este café a un amigo?</t>
      </text>
    </comment>
    <comment ref="T1" authorId="1" shapeId="0">
      <text>
        <t>14. ¿Qué tan probable es que vuelva en los próximos 30 días? (1 = nada probable … 5 = muy probable)</t>
      </text>
    </comment>
    <comment ref="U1" authorId="1" shapeId="0">
      <text>
        <t>15. Además de este, ¿a cuántas otras cafeterías de especialidad fue el último mes? | Ninguno | 1 a 2 | 3 a 5 | 6 o más</t>
      </text>
    </comment>
    <comment ref="V1" authorId="1" shapeId="0">
      <text>
        <t>16. Frente a otras cafeterías de especialidad de la zona, este café es… | Es mi primera opción | Una de varias opciones | Vine por esta vez</t>
      </text>
    </comment>
    <comment ref="W1" authorId="0" shapeId="0">
      <text>
        <t>======
ID#doco.9vs2Y660UxFwAwxDfC645g
Unknown Author    (2026-10-28 13:13:34)
Observaciones del encuestador (dudas, interrupciones, preguntas que la persona no quiso responder)</t>
      </text>
    </comment>
    <comment ref="X1" authorId="1" shapeId="0">
      <text>
        <t>Lo que la persona dijo al responder la pregunta 5 (región, finca, productor o dato de la historia). Solo si recuerda_dato = 1; no se anotan rasgos que identifiquen a la persona.</t>
      </text>
    </comment>
  </commentList>
</comments>
</file>

<file path=xl/comments/comment4.xml><?xml version="1.0" encoding="utf-8"?>
<comments xmlns="http://schemas.openxmlformats.org/spreadsheetml/2006/main">
  <authors>
    <author>Revisión</author>
  </authors>
  <commentList>
    <comment ref="A1" authorId="0" shapeId="0">
      <text>
        <t>ID único del intento de abordaje: A-café-consecutivo (p. ej. A-C01-01).</t>
      </text>
    </comment>
    <comment ref="B1" authorId="0" shapeId="0">
      <text>
        <t>Café donde se hizo el intento (C01–C10, R1–R3).</t>
      </text>
    </comment>
    <comment ref="C1" authorId="0" shapeId="0">
      <text>
        <t>Fecha del intento.</t>
      </text>
    </comment>
    <comment ref="D1" authorId="0" shapeId="0">
      <text>
        <t>Hora en formato HH:MM (24 h).</t>
      </text>
    </comment>
    <comment ref="E1" authorId="0" shapeId="0">
      <text>
        <t>Quién abordó (A, B o C).</t>
      </text>
    </comment>
    <comment ref="F1" authorId="0" shapeId="0">
      <text>
        <t>Completó la encuesta | Aceptó pero no terminó | Rechazó | No elegible (menor de edad).</t>
      </text>
    </comment>
    <comment ref="G1" authorId="0" shapeId="0">
      <text>
        <t>Solo si rechazó o no terminó: el motivo que dio la persona (no insistir si no lo dice).</t>
      </text>
    </comment>
    <comment ref="H1" authorId="0" shapeId="0">
      <text>
        <t>Si completó la encuesta: el enc_id de la hoja Encuestas (p. ej. E-C01-01).</t>
      </text>
    </comment>
    <comment ref="I1" authorId="0" shapeId="0">
      <text>
        <t>Notas del intento. No anotar rasgos que identifiquen a la persona.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fondoculturalcafetero.org/nuestros_artistas/quipile-coffee/" TargetMode="External" Id="rId1"/><Relationship Type="http://schemas.openxmlformats.org/officeDocument/2006/relationships/hyperlink" Target="https://maps.google.com/?cid=198281915670443191" TargetMode="External" Id="rId2"/><Relationship Type="http://schemas.openxmlformats.org/officeDocument/2006/relationships/hyperlink" Target="https://www.coffeemastercolombia.com/participante/bogota-coffee-roasters-cine-cafe/" TargetMode="External" Id="rId3"/><Relationship Type="http://schemas.openxmlformats.org/officeDocument/2006/relationships/hyperlink" Target="https://www.instagram.com/elbourbon_cafe/" TargetMode="External" Id="rId4"/><Relationship Type="http://schemas.openxmlformats.org/officeDocument/2006/relationships/hyperlink" Target="https://issuu.com/ezcarlatacol/docs/menu_ezcarlata" TargetMode="External" Id="rId5"/><Relationship Type="http://schemas.openxmlformats.org/officeDocument/2006/relationships/hyperlink" Target="https://maps.google.com/?cid=475238163965829388" TargetMode="External" Id="rId6"/><Relationship Type="http://schemas.openxmlformats.org/officeDocument/2006/relationships/hyperlink" Target="https://www.instagram.com/catcoffeeco/?hl=es" TargetMode="External" Id="rId7"/><Relationship Type="http://schemas.openxmlformats.org/officeDocument/2006/relationships/hyperlink" Target="https://wanderboat.ai/restaurants/colombia/bogota%2C-capital-district/oishii-bubble-tea-at-7-days/6cNVwsvYRUufEI_0k1MO2w" TargetMode="External" Id="rId8"/><Relationship Type="http://schemas.openxmlformats.org/officeDocument/2006/relationships/hyperlink" Target="https://arteypasioncafe.com/" TargetMode="External" Id="rId9"/><Relationship Type="http://schemas.openxmlformats.org/officeDocument/2006/relationships/hyperlink" Target="https://www.instagram.com/somoscafenossapastel/" TargetMode="External" Id="rId10"/><Relationship Type="http://schemas.openxmlformats.org/officeDocument/2006/relationships/hyperlink" Target="https://www.instagram.com/filtrandocafes/" TargetMode="External" Id="rId11"/><Relationship Type="http://schemas.openxmlformats.org/officeDocument/2006/relationships/hyperlink" Target="https://terracotacafeymas.com/" TargetMode="External" Id="rId12"/><Relationship Type="http://schemas.openxmlformats.org/officeDocument/2006/relationships/hyperlink" Target="https://www.instagram.com/cafe.noscol?igsh=Z2hwYWNua2lzNnRy" TargetMode="External" Id="rId1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56"/>
  <sheetViews>
    <sheetView workbookViewId="0">
      <selection activeCell="A1" sqref="A1"/>
    </sheetView>
  </sheetViews>
  <sheetFormatPr baseColWidth="8" defaultColWidth="14.43" defaultRowHeight="15" customHeight="1"/>
  <cols>
    <col width="130" customWidth="1" style="45" min="1" max="1"/>
    <col width="8.710000000000001" customWidth="1" style="45" min="2" max="26"/>
  </cols>
  <sheetData>
    <row r="1" ht="16" customHeight="1" s="45">
      <c r="A1" s="1" t="inlineStr">
        <is>
          <t>BASE DE DATOS A LLENAR · Cafeterías de especialidad en Bogotá</t>
        </is>
      </c>
    </row>
    <row r="2" ht="16" customHeight="1" s="45">
      <c r="A2" s="17" t="inlineStr">
        <is>
          <t>Haciendo Economía 2026-2 · Protocolo de trabajo de campo (Entrega 3b) · v1.4 (incluye piloto hipotético de 1 caso)</t>
        </is>
      </c>
    </row>
    <row r="3" ht="8" customHeight="1" s="45">
      <c r="A3" s="17" t="n"/>
    </row>
    <row r="4" ht="16" customHeight="1" s="45">
      <c r="A4" s="3" t="inlineStr">
        <is>
          <t>PREGUNTA (reformulada como asociación descriptiva)</t>
        </is>
      </c>
    </row>
    <row r="5" ht="44" customHeight="1" s="45">
      <c r="A5" s="17" t="inlineStr">
        <is>
          <t>¿Cómo se asocian el storytelling y la ambientación de las cafeterías de especialidad de Bogotá con su diferenciación percibida, la recordación y la preferencia declarada de sus clientes? Los datos describen asociaciones entre cafés; no miden el efecto de «implementar» una estrategia.</t>
        </is>
      </c>
    </row>
    <row r="6" ht="8" customHeight="1" s="45">
      <c r="A6" s="17" t="n"/>
    </row>
    <row r="7" ht="16" customHeight="1" s="45">
      <c r="A7" s="3" t="inlineStr">
        <is>
          <t>MUESTRA Y UNIDAD DE ANÁLISIS</t>
        </is>
      </c>
    </row>
    <row r="8" ht="16" customHeight="1" s="45">
      <c r="A8" s="17" t="inlineStr">
        <is>
          <t>• Meta: 10 cafés × 8 encuestas = 80 encuestas y 10 fichas de observación. Lista, direcciones y evidencia en Muestra_Cafes.</t>
        </is>
      </c>
    </row>
    <row r="9" ht="30" customHeight="1" s="45">
      <c r="A9" s="17" t="inlineStr">
        <is>
          <t>• La unidad de análisis es el CAFÉ (n = 10): las 8 encuestas de cada café se resumen en promedios por café. 80 encuestas en 10 negocios no equivalen a 80 negocios; la muestra es intencional y no representa a toda Bogotá.</t>
        </is>
      </c>
    </row>
    <row r="10" ht="16" customHeight="1" s="45">
      <c r="A10" s="17" t="inlineStr">
        <is>
          <t>• Zonas (las tres de la Entrega 1): Z1 Parkway–Teusaquillo (6 cafés), Z2 La Macarena (2) y Z3 Centro (2).</t>
        </is>
      </c>
    </row>
    <row r="11" ht="58" customHeight="1" s="45">
      <c r="A11" s="17" t="inlineStr">
        <is>
          <t>• Criterio de especialidad: entra un local si (a) aparece como café de especialidad en al menos una fuente externa verificable (Coffee Master Colombia, Revista Diners 2023, Fondo Cultural Cafetero, SCA) o (b) vende café de origen identificado según su carta o redes, lo que se confirma en la visita. La columna verificacion_especialidad de Muestra_Cafes dice en cuál está cada local; los marcados «Verificar antes de salir» deben resolverse antes de salir a campo.</t>
        </is>
      </c>
    </row>
    <row r="12" ht="44" customHeight="1" s="45">
      <c r="A12" s="17" t="inlineStr">
        <is>
          <t>• Reemplazos (R1–R3): si el local no autoriza o está cerrado, se pasa a una reserva de la MISMA zona. Se registra en Muestra_Cafes (original: Reemplazado, meta 0; reserva: Pendiente, meta 8). La fila 15 de Muestra_Cafes queda libre por si se añade una reserva adicional (R4).</t>
        </is>
      </c>
    </row>
    <row r="13" ht="44" customHeight="1" s="45">
      <c r="A13" s="17" t="inlineStr">
        <is>
          <t>• Días y franjas: 5 cafés entre semana y 5 en fin de semana; 5 en la mañana y 5 en la tarde. Cada café se visita una sola vez, así que día, franja y observador quedan confundidos con el café: se reportan como limitación y no se interpretan como efectos. Las fechas de fin de semana están por definir y las visitas empiezan después de la retroalimentación de la Entrega 3b.</t>
        </is>
      </c>
    </row>
    <row r="14" ht="8" customHeight="1" s="45">
      <c r="A14" s="17" t="n"/>
    </row>
    <row r="15" ht="16" customHeight="1" s="45">
      <c r="A15" s="3" t="inlineStr">
        <is>
          <t>ABORDAJE DE LOS ENCUESTADOS</t>
        </is>
      </c>
    </row>
    <row r="16" ht="30" customHeight="1" s="45">
      <c r="A16" s="17" t="inlineStr">
        <is>
          <t>• Quién: personas mayores de edad dentro del local, con su pedido ya servido. No se aborda al personal ni a quien ya respondió en esa visita, y se encuesta a una sola persona por mesa o grupo.</t>
        </is>
      </c>
    </row>
    <row r="17" ht="44" customHeight="1" s="45">
      <c r="A17" s="17" t="inlineStr">
        <is>
          <t>• Cómo se elige: se aborda a la segunda persona que reciba su pedido y se siente, luego a la cuarta, y así sucesivamente, hasta completar 8 encuestas dentro de la visita (unas 2,5 horas). Si llega un grupo, se invita a la persona cuyo cumpleaños sea el más cercano. No se aborda a quien esté en la fila, en una llamada o en una reunión, ni se elige a quién abordar por su apariencia.</t>
        </is>
      </c>
    </row>
    <row r="18" ht="30" customHeight="1" s="45">
      <c r="A18" s="17" t="inlineStr">
        <is>
          <t>• Presentación: «Hola, somos estudiantes de un curso de Economía y hacemos una encuesta anónima de unos minutos sobre cafeterías. No pedimos datos personales. ¿Quiere participar?». Si acepta, se lee el consentimiento informado del cuestionario antes de empezar.</t>
        </is>
      </c>
    </row>
    <row r="19" ht="30" customHeight="1" s="45">
      <c r="A19" s="17" t="inlineStr">
        <is>
          <t>• Registro: cada intento se anota en la hoja Abordajes (completó, aceptó pero no terminó, rechazó, no elegible por ser menor de edad), con el motivo si la persona lo da. Tasa de respuesta = encuestas completas / personas elegibles abordadas (columnas H–I de Avance).</t>
        </is>
      </c>
    </row>
    <row r="20" ht="30" customHeight="1" s="45">
      <c r="A20" s="17" t="inlineStr">
        <is>
          <t>• Si no se alcanzan las 8 encuestas, se deja el número real y el motivo en Abordajes; no se completan con encuestas de otro día. Si no se logran al menos 6, se pasa a la reserva de la misma zona.</t>
        </is>
      </c>
    </row>
    <row r="21" ht="8" customHeight="1" s="45">
      <c r="A21" s="17" t="n"/>
    </row>
    <row r="22" ht="16" customHeight="1" s="45">
      <c r="A22" s="3" t="inlineStr">
        <is>
          <t>CÓMO USAR ESTE ARCHIVO</t>
        </is>
      </c>
    </row>
    <row r="23" ht="30" customHeight="1" s="45">
      <c r="A23" s="17" t="inlineStr">
        <is>
          <t>1. Hoja Ficha_Cafe: una fila por café (observación). Hoja Encuestas: una fila por cliente (meta: 8 por café, 80 en total). Hoja Abordajes: una fila por intento de encuesta, incluidos los rechazos.</t>
        </is>
      </c>
    </row>
    <row r="24" ht="30" customHeight="1" s="45">
      <c r="A24" s="17" t="inlineStr">
        <is>
          <t>2. La fila 2 (amarilla, cursiva) de Ficha_Cafe, Encuestas y Abordajes es un EJEMPLO de formato. Los datos reales empiezan en la fila 3 y el script de limpieza ignora las filas con «EJEMPLO».</t>
        </is>
      </c>
    </row>
    <row r="25" ht="44" customHeight="1" s="45">
      <c r="A25" s="17" t="inlineStr">
        <is>
          <t>3. Los nombres de columna (fila 1) son los nombres de variable del cuestionario y del Diccionario; no los cambie. Pase el mouse sobre el encabezado para ver la pregunta completa. Las columnas del Excel coinciden una a una con el documento «Cuestionario y consentimiento» (el Diccionario indica el número de pregunta de cada variable).</t>
        </is>
      </c>
    </row>
    <row r="26" ht="16" customHeight="1" s="45">
      <c r="A26" s="17" t="inlineStr">
        <is>
          <t>4. Las columnas grises se calculan solas: no escriba en ellas.</t>
        </is>
      </c>
    </row>
    <row r="27" ht="44" customHeight="1" s="45">
      <c r="A27" s="17" t="inlineStr">
        <is>
          <t>5. Valores faltantes: en la ficha, 0 = se buscó y no está; celda VACÍA = no se pudo revisar (nunca escriba 0 por duda). Los índices solo se calculan si todos los ítems del bloque están registrados. En la encuesta, si la persona no quiere responder una pregunta, deje la celda vacía y anótelo en obs_encuestador.</t>
        </is>
      </c>
    </row>
    <row r="28" ht="30" customHeight="1" s="45">
      <c r="A28" s="17" t="inlineStr">
        <is>
          <t>6. Hojas de apoyo: Muestra_Cafes (plan de visitas, reparto y verificación del criterio de especialidad), Abordajes (cada intento y la tasa de respuesta), Avance (control automático de metas), Piloto (resultado del piloto), Diccionario y Listas.</t>
        </is>
      </c>
    </row>
    <row r="29" ht="30" customHeight="1" s="45">
      <c r="A29" s="17" t="inlineStr">
        <is>
          <t>7. Los datos originales NO se editan después de salir de campo: las correcciones se hacen en los scripts de limpieza (carpeta del proyecto, scripts/).</t>
        </is>
      </c>
    </row>
    <row r="30" ht="58" customHeight="1" s="45">
      <c r="A30" s="17" t="inlineStr">
        <is>
          <t>8. No se registran nombres, teléfonos, correos ni documentos de los clientes, ni edad, género u ocupación. El único dato nominal es el nombre del negocio. Razón: la pregunta compara cafés, no personas, así que esos datos no hacen falta; la limitación es que no se puede controlar por el perfil de la clientela. En obs_encuestador, obs_abordaje y obs_texto no se anotan rasgos que identifiquen a una persona, y las fotos no incluyen personas identificables.</t>
        </is>
      </c>
    </row>
    <row r="31" ht="30" customHeight="1" s="45">
      <c r="A31" s="17" t="inlineStr">
        <is>
          <t>9. Convención de ID: café = C01–C10 · piloto = P1 · reemplazos = R1–R3 · encuesta = E-C01-01 (E - café - número consecutivo; la del piloto es E-P1-01) · intento de abordaje = A-C01-01.</t>
        </is>
      </c>
    </row>
    <row r="32" ht="8" customHeight="1" s="45">
      <c r="A32" s="17" t="n"/>
    </row>
    <row r="33" ht="16" customHeight="1" s="45">
      <c r="A33" s="3" t="inlineStr">
        <is>
          <t>CAMBIOS DE v1.3 A v1.4</t>
        </is>
      </c>
    </row>
    <row r="34" ht="44" customHeight="1" s="45">
      <c r="A34" s="17" t="inlineStr">
        <is>
          <t>• Cuestionario v1.4 alineado con esta base: el orden de las preguntas cambia (recuerda_dato pasa a ser la pregunta 5, antes de las de percepción, para que la recordación sea espontánea); per_ambiente…per_descripcion son ahora las preguntas 6 a 12. Los bloques son A, B y C (antes A, B y D). Cambió la numeración en el Diccionario, no los nombres de variable.</t>
        </is>
      </c>
    </row>
    <row r="35" ht="44" customHeight="1" s="45">
      <c r="A35" s="17" t="inlineStr">
        <is>
          <t>• per_descripcion: nueva opción «No conozco la historia» → celda vacía (dato faltante). Consentimiento: la mayoría de edad y la aceptación son dos preguntas; los rechazos y los menores se registran en Abordajes.</t>
        </is>
      </c>
    </row>
    <row r="36" ht="44" customHeight="1" s="45">
      <c r="A36" s="17" t="inlineStr">
        <is>
          <t>• Ficha: en el cuestionario la regla es la de esta base (vacío si no se pudo revisar, nunca 0 por duda), idx_story = st1–st6, zonas Z1–Z3 e IDs C01–C10 / P1 / R1–R3.</t>
        </is>
      </c>
    </row>
    <row r="37" ht="8" customHeight="1" s="45"/>
    <row r="38" ht="16" customHeight="1" s="45">
      <c r="A38" s="3" t="inlineStr">
        <is>
          <t>CAMBIOS DE v1.2 A v1.3</t>
        </is>
      </c>
    </row>
    <row r="39" ht="8" customHeight="1" s="45">
      <c r="A39" s="17" t="inlineStr">
        <is>
          <t>• Encuestas y Diccionario alineados con el documento «Cuestionario y consentimiento»: preguntas 1–16 en los bloques A, B y D; per_origen y recuerda_dato en 0/1; minutos_permanencia en categorías; per_historia de 1 a 5; per_descripcion en 0/1 con su pregunta.</t>
        </is>
      </c>
    </row>
    <row r="40" ht="16" customHeight="1" s="45">
      <c r="A40" s="17" t="inlineStr">
        <is>
          <t>• Listas: freq_visita, motivo_visita y n_otros_cafes con las etiquetas del cuestionario; nueva lista minutos_permanencia.</t>
        </is>
      </c>
    </row>
    <row r="41" ht="16" customHeight="1" s="45">
      <c r="A41" s="17" t="inlineStr">
        <is>
          <t>• Encuestas: nueva columna recuerda_dato_txt para anotar lo que la persona mencionó en la pregunta 12.</t>
        </is>
      </c>
    </row>
    <row r="42" ht="30" customHeight="1" s="45">
      <c r="A42" s="17" t="inlineStr">
        <is>
          <t>• Piloto: tiempo de la encuesta de 2 min, minutos_permanencia como categoría, coordenada de Terracota igual a Muestra_Cafes y tabla de resultado del piloto actualizada.</t>
        </is>
      </c>
    </row>
    <row r="43" ht="16" customHeight="1" s="45">
      <c r="A43" s="17" t="inlineStr">
        <is>
          <t>• Regla de abordaje y duración de la visita (unas 2,5 horas) iguales a las del Plan de análisis.</t>
        </is>
      </c>
    </row>
    <row r="44" ht="8" customHeight="1" s="45">
      <c r="A44" s="17" t="n"/>
    </row>
    <row r="45" ht="16" customHeight="1" s="45">
      <c r="A45" s="3" t="inlineStr">
        <is>
          <t>CAMBIOS DE v1.1 A v1.2</t>
        </is>
      </c>
    </row>
    <row r="46" ht="16" customHeight="1" s="45">
      <c r="A46" s="17" t="inlineStr">
        <is>
          <t>• Hoja nueva Abordajes y regla de abordaje (arriba). Avance suma abordados elegibles y tasa de respuesta.</t>
        </is>
      </c>
    </row>
    <row r="47" ht="30" customHeight="1" s="45">
      <c r="A47" s="17" t="inlineStr">
        <is>
          <t>• Piloto: marcado como hipotético (1 caso) y con ID P1 / E-P1-01; corregidos localidad/zona invertidas, coordenada, hora, minutos y categorías; agregada la tabla «Resultado del piloto» con hallazgos y ajustes.</t>
        </is>
      </c>
    </row>
    <row r="48" ht="30" customHeight="1" s="45">
      <c r="A48" s="17" t="inlineStr">
        <is>
          <t>• Muestra_Cafes: 5 cafés pasan a fin de semana (fechas por definir) para cumplir el 5/5 de la nota; nueva columna verificacion_especialidad; localidad de CatCoffee y Terracota; «coordenadas» pasa a «coordenada»; reservas R1–R3.</t>
        </is>
      </c>
    </row>
    <row r="49" ht="30" customHeight="1" s="45">
      <c r="A49" s="17" t="inlineStr">
        <is>
          <t>• Ficha_Cafe: datos de identificación sincronizados con Muestra_Cafes (localidad, tipo de negocio, observador de R1–R3, nombre de C03); fórmulas de R1 repuestas.</t>
        </is>
      </c>
    </row>
    <row r="50" ht="30" customHeight="1" s="45">
      <c r="A50" s="17" t="inlineStr">
        <is>
          <t>• Avance: ficha_lista es «Sí» solo si la ficha está «Completa» (antes bastaba con que la fila existiera); las filas sin café quedan vacías.</t>
        </is>
      </c>
    </row>
    <row r="51" ht="44" customHeight="1" s="45">
      <c r="A51" s="17" t="inlineStr">
        <is>
          <t>• Listas y Diccionario: n_otros_cafes unificado («1–2», «3–5»); etiqueta de per_origen corregida; coordenada y variables de Abordajes agregadas; per_descripcion y la numeración de preguntas marcadas como por confirmar; la lista «factor», que no tenía variable, se reemplazó por listas de Abordajes.</t>
        </is>
      </c>
    </row>
    <row r="52" ht="8" customHeight="1" s="45">
      <c r="A52" s="17" t="n"/>
    </row>
    <row r="53" ht="16" customHeight="1" s="45">
      <c r="A53" s="3" t="inlineStr">
        <is>
          <t>CAMBIOS DE v1.0 A v1.1</t>
        </is>
      </c>
    </row>
    <row r="54" ht="16" customHeight="1" s="45">
      <c r="A54" s="17" t="inlineStr">
        <is>
          <t>• Muestra: 10 cafés con nombre, dirección y evidencia (antes 8 códigos, solo uno con nombre). Meta única: 10 × 8 = 80.</t>
        </is>
      </c>
    </row>
    <row r="55" ht="30" customHeight="1" s="45">
      <c r="A55" s="17" t="inlineStr">
        <is>
          <t>• Columnas de Ficha_Cafe y Encuestas ajustadas al cuestionario v1.1: se quitaron st7, st8, medidas de precio/ruido/espera, gasto, disposición a pagar, datos demográficos y diferencia_txt/cod, que no están en el cuestionario.</t>
        </is>
      </c>
    </row>
    <row r="56" ht="30" customHeight="1" s="45">
      <c r="A56" s="17" t="inlineStr">
        <is>
          <t>• Índices: idx_story ahora suma st1–st6 (0–6) y ambos índices quedan vacíos si falta algún ítem. Se reparó Avance (#REF!). El ejemplo ficticio del Piloto se marcó como ejemplo.</t>
        </is>
      </c>
    </row>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Q17"/>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4.43" defaultRowHeight="15" customHeight="1"/>
  <cols>
    <col width="9" customWidth="1" style="45" min="1" max="1"/>
    <col width="24" customWidth="1" style="45" min="2" max="2"/>
    <col width="10" customWidth="1" style="45" min="3" max="3"/>
    <col width="19.71" customWidth="1" style="45" min="4" max="4"/>
    <col width="32" customWidth="1" style="45" min="5" max="5"/>
    <col width="22" customWidth="1" style="45" min="6" max="6"/>
    <col width="15" customWidth="1" style="45" min="7" max="7"/>
    <col width="24" customWidth="1" style="45" min="8" max="8"/>
    <col width="12" customWidth="1" style="45" min="9" max="9"/>
    <col width="14" customWidth="1" style="45" min="10" max="10"/>
    <col width="16" customWidth="1" style="45" min="11" max="11"/>
    <col width="14" customWidth="1" style="45" min="12" max="12"/>
    <col width="10" customWidth="1" style="45" min="13" max="13"/>
    <col width="13" customWidth="1" style="45" min="14" max="14"/>
    <col width="52" customWidth="1" style="45" min="15" max="15"/>
    <col width="44" customWidth="1" style="45" min="16" max="16"/>
    <col width="30" customWidth="1" style="45" min="17" max="25"/>
  </cols>
  <sheetData>
    <row r="1" ht="30" customHeight="1" s="45">
      <c r="A1" s="5" t="inlineStr">
        <is>
          <t>cafe_id</t>
        </is>
      </c>
      <c r="B1" s="5" t="inlineStr">
        <is>
          <t>zona_muestreo</t>
        </is>
      </c>
      <c r="C1" s="5" t="inlineStr">
        <is>
          <t>id_mapa</t>
        </is>
      </c>
      <c r="D1" s="5" t="inlineStr">
        <is>
          <t>coordenada</t>
        </is>
      </c>
      <c r="E1" s="5" t="inlineStr">
        <is>
          <t>nombre_cafe</t>
        </is>
      </c>
      <c r="F1" s="5" t="inlineStr">
        <is>
          <t>direccion</t>
        </is>
      </c>
      <c r="G1" s="5" t="inlineStr">
        <is>
          <t>localidad</t>
        </is>
      </c>
      <c r="H1" s="5" t="inlineStr">
        <is>
          <t>tipo_negocio</t>
        </is>
      </c>
      <c r="I1" s="5" t="inlineStr">
        <is>
          <t>responsable</t>
        </is>
      </c>
      <c r="J1" s="5" t="inlineStr">
        <is>
          <t>dia_tipo</t>
        </is>
      </c>
      <c r="K1" s="5" t="inlineStr">
        <is>
          <t>franja</t>
        </is>
      </c>
      <c r="L1" s="5" t="inlineStr">
        <is>
          <t>fecha_prevista</t>
        </is>
      </c>
      <c r="M1" s="5" t="inlineStr">
        <is>
          <t>meta_encuestas</t>
        </is>
      </c>
      <c r="N1" s="5" t="inlineStr">
        <is>
          <t>estado</t>
        </is>
      </c>
      <c r="O1" s="5" t="inlineStr">
        <is>
          <t>evidencia_especialidad</t>
        </is>
      </c>
      <c r="P1" s="5" t="inlineStr">
        <is>
          <t>fuente</t>
        </is>
      </c>
      <c r="Q1" s="5" t="inlineStr">
        <is>
          <t>verificacion_especialidad</t>
        </is>
      </c>
    </row>
    <row r="2">
      <c r="A2" s="18" t="inlineStr">
        <is>
          <t>C01</t>
        </is>
      </c>
      <c r="B2" s="18" t="inlineStr">
        <is>
          <t>Z1 Parkway–Teusaquillo</t>
        </is>
      </c>
      <c r="C2" s="18" t="inlineStr">
        <is>
          <t>M-01</t>
        </is>
      </c>
      <c r="D2" s="13" t="inlineStr">
        <is>
          <t>4.631853, -74.073582</t>
        </is>
      </c>
      <c r="E2" s="17" t="inlineStr">
        <is>
          <t>Quipile Café de Origen</t>
        </is>
      </c>
      <c r="F2" s="17" t="inlineStr">
        <is>
          <t>Cra 24 #42-71</t>
        </is>
      </c>
      <c r="G2" s="18" t="inlineStr">
        <is>
          <t>Teusaquillo</t>
        </is>
      </c>
      <c r="H2" s="13" t="inlineStr">
        <is>
          <t>Pequeña cadena (2–5 locales)</t>
        </is>
      </c>
      <c r="I2" s="18" t="inlineStr">
        <is>
          <t>A</t>
        </is>
      </c>
      <c r="J2" s="18" t="inlineStr">
        <is>
          <t>Fin de semana</t>
        </is>
      </c>
      <c r="K2" s="18" t="inlineStr">
        <is>
          <t>Mañana (8–11)</t>
        </is>
      </c>
      <c r="L2" s="12" t="inlineStr">
        <is>
          <t>Por definir (sáb. o dom.)</t>
        </is>
      </c>
      <c r="M2" s="18" t="n">
        <v>8</v>
      </c>
      <c r="N2" s="18" t="inlineStr">
        <is>
          <t>Pendiente</t>
        </is>
      </c>
      <c r="O2" s="17" t="inlineStr">
        <is>
          <t>Uno de los primeros cafés de especialidad de Bogotá (12 años en el mercado); apoya a caficultores colombianos.</t>
        </is>
      </c>
      <c r="P2" s="15" t="inlineStr">
        <is>
          <t>https://fondoculturalcafetero.org/nuestros_artistas/quipile-coffee/</t>
        </is>
      </c>
      <c r="Q2" s="15" t="inlineStr">
        <is>
          <t>Cumple (a): fuente externa</t>
        </is>
      </c>
    </row>
    <row r="3">
      <c r="A3" s="18" t="inlineStr">
        <is>
          <t>C02</t>
        </is>
      </c>
      <c r="B3" s="18" t="inlineStr">
        <is>
          <t>Z1 Parkway–Teusaquillo</t>
        </is>
      </c>
      <c r="C3" s="18" t="inlineStr">
        <is>
          <t>M-02</t>
        </is>
      </c>
      <c r="D3" s="13" t="inlineStr">
        <is>
          <t>4.628863, -74.072224</t>
        </is>
      </c>
      <c r="E3" s="17" t="inlineStr">
        <is>
          <t>Rolo Café PW</t>
        </is>
      </c>
      <c r="F3" s="17" t="inlineStr">
        <is>
          <t>Cra 22 #40-07</t>
        </is>
      </c>
      <c r="G3" s="18" t="inlineStr">
        <is>
          <t>Teusaquillo</t>
        </is>
      </c>
      <c r="H3" s="13" t="inlineStr">
        <is>
          <t>Independiente (1 local)</t>
        </is>
      </c>
      <c r="I3" s="18" t="inlineStr">
        <is>
          <t>B</t>
        </is>
      </c>
      <c r="J3" s="18" t="inlineStr">
        <is>
          <t>Fin de semana</t>
        </is>
      </c>
      <c r="K3" s="18" t="inlineStr">
        <is>
          <t>Tarde (14–17)</t>
        </is>
      </c>
      <c r="L3" s="12" t="inlineStr">
        <is>
          <t>Por definir (sáb. o dom.)</t>
        </is>
      </c>
      <c r="M3" s="18" t="n">
        <v>8</v>
      </c>
      <c r="N3" s="18" t="inlineStr">
        <is>
          <t>Pendiente</t>
        </is>
      </c>
      <c r="O3" s="17" t="inlineStr">
        <is>
          <t>Entrega 1 lo describe por su ambientación (coworking, lectura)</t>
        </is>
      </c>
      <c r="P3" s="15" t="inlineStr">
        <is>
          <t>https://maps.google.com/?cid=198281915670443191</t>
        </is>
      </c>
      <c r="Q3" s="15" t="inlineStr">
        <is>
          <t>Verificar antes de salir</t>
        </is>
      </c>
    </row>
    <row r="4">
      <c r="A4" s="18" t="inlineStr">
        <is>
          <t>C03</t>
        </is>
      </c>
      <c r="B4" s="18" t="inlineStr">
        <is>
          <t>Z1 Parkway–Teusaquillo</t>
        </is>
      </c>
      <c r="C4" s="18" t="inlineStr">
        <is>
          <t>M-03</t>
        </is>
      </c>
      <c r="D4" s="13" t="inlineStr">
        <is>
          <t>4.622475, -74.070058</t>
        </is>
      </c>
      <c r="E4" s="17" t="inlineStr">
        <is>
          <t>Bogotá Coffee Roasters LAB Cine y Café</t>
        </is>
      </c>
      <c r="F4" s="17" t="inlineStr">
        <is>
          <t>Tv 17a Bis #35-71</t>
        </is>
      </c>
      <c r="G4" s="18" t="inlineStr">
        <is>
          <t>Teusaquillo</t>
        </is>
      </c>
      <c r="H4" s="13" t="inlineStr">
        <is>
          <t>Independiente (1 local)</t>
        </is>
      </c>
      <c r="I4" s="18" t="inlineStr">
        <is>
          <t>C</t>
        </is>
      </c>
      <c r="J4" s="18" t="inlineStr">
        <is>
          <t>Fin de semana</t>
        </is>
      </c>
      <c r="K4" s="18" t="inlineStr">
        <is>
          <t>Mañana (8–11)</t>
        </is>
      </c>
      <c r="L4" s="12" t="inlineStr">
        <is>
          <t>Por definir (sáb. o dom.)</t>
        </is>
      </c>
      <c r="M4" s="18" t="n">
        <v>8</v>
      </c>
      <c r="N4" s="18" t="inlineStr">
        <is>
          <t>Pendiente</t>
        </is>
      </c>
      <c r="O4" s="17" t="inlineStr">
        <is>
          <t>Participante de Coffee Master Colombia; granos de origen y bebidas de autor; organizador y promotor del Coffee Master.</t>
        </is>
      </c>
      <c r="P4" s="15" t="inlineStr">
        <is>
          <t>https://www.coffeemastercolombia.com/participante/bogota-coffee-roasters-cine-cafe/</t>
        </is>
      </c>
      <c r="Q4" s="15" t="inlineStr">
        <is>
          <t>Cumple (a): fuente externa</t>
        </is>
      </c>
    </row>
    <row r="5">
      <c r="A5" s="18" t="inlineStr">
        <is>
          <t>C04</t>
        </is>
      </c>
      <c r="B5" s="18" t="inlineStr">
        <is>
          <t>Z1 Parkway–Teusaquillo</t>
        </is>
      </c>
      <c r="C5" s="18" t="inlineStr">
        <is>
          <t>M-04</t>
        </is>
      </c>
      <c r="D5" s="13" t="inlineStr">
        <is>
          <t>4.628731, -74.075306</t>
        </is>
      </c>
      <c r="E5" s="17" t="inlineStr">
        <is>
          <t>El Bourbon Café</t>
        </is>
      </c>
      <c r="F5" s="17" t="inlineStr">
        <is>
          <t>Cl 39 #24-36</t>
        </is>
      </c>
      <c r="G5" s="18" t="inlineStr">
        <is>
          <t>Teusaquillo</t>
        </is>
      </c>
      <c r="H5" s="13" t="inlineStr">
        <is>
          <t>Independiente (1 local)</t>
        </is>
      </c>
      <c r="I5" s="18" t="inlineStr">
        <is>
          <t>A</t>
        </is>
      </c>
      <c r="J5" s="18" t="inlineStr">
        <is>
          <t>Entre semana</t>
        </is>
      </c>
      <c r="K5" s="18" t="inlineStr">
        <is>
          <t>Tarde (14–17)</t>
        </is>
      </c>
      <c r="L5" s="12" t="n">
        <v>46331</v>
      </c>
      <c r="M5" s="18" t="n">
        <v>8</v>
      </c>
      <c r="N5" s="18" t="inlineStr">
        <is>
          <t>Pendiente</t>
        </is>
      </c>
      <c r="O5" s="17" t="inlineStr">
        <is>
          <t>Ofrece varios métodos de preparación de café; formato mixto (tatuajes, vinilos, juegos de mesa).</t>
        </is>
      </c>
      <c r="P5" s="15" t="inlineStr">
        <is>
          <t>https://www.instagram.com/elbourbon_cafe/</t>
        </is>
      </c>
      <c r="Q5" s="15" t="inlineStr">
        <is>
          <t>Verificar antes de salir</t>
        </is>
      </c>
    </row>
    <row r="6">
      <c r="A6" s="18" t="inlineStr">
        <is>
          <t>C05</t>
        </is>
      </c>
      <c r="B6" s="18" t="inlineStr">
        <is>
          <t>Z1 Parkway–Teusaquillo</t>
        </is>
      </c>
      <c r="C6" s="18" t="inlineStr">
        <is>
          <t>M-05</t>
        </is>
      </c>
      <c r="D6" s="13" t="inlineStr">
        <is>
          <t>4.626248, -74.071168</t>
        </is>
      </c>
      <c r="E6" s="17" t="inlineStr">
        <is>
          <t>Ezcarlata Café</t>
        </is>
      </c>
      <c r="F6" s="17" t="inlineStr">
        <is>
          <t>Cra 18 #39A-59</t>
        </is>
      </c>
      <c r="G6" s="18" t="inlineStr">
        <is>
          <t>Teusaquillo</t>
        </is>
      </c>
      <c r="H6" s="13" t="inlineStr">
        <is>
          <t>Independiente (1 local)</t>
        </is>
      </c>
      <c r="I6" s="18" t="inlineStr">
        <is>
          <t>B</t>
        </is>
      </c>
      <c r="J6" s="18" t="inlineStr">
        <is>
          <t>Entre semana</t>
        </is>
      </c>
      <c r="K6" s="18" t="inlineStr">
        <is>
          <t>Mañana (8–11)</t>
        </is>
      </c>
      <c r="L6" s="12" t="n">
        <v>46331</v>
      </c>
      <c r="M6" s="18" t="n">
        <v>8</v>
      </c>
      <c r="N6" s="18" t="inlineStr">
        <is>
          <t>Pendiente</t>
        </is>
      </c>
      <c r="O6" s="17" t="inlineStr">
        <is>
          <t>Se presenta con especialidad en métodos de filtrado (menú en Issuu). Falta fuente externa.</t>
        </is>
      </c>
      <c r="P6" s="15" t="inlineStr">
        <is>
          <t>https://issuu.com/ezcarlatacol/docs/menu_ezcarlata</t>
        </is>
      </c>
      <c r="Q6" s="15" t="inlineStr">
        <is>
          <t>Cumple (b): confirmar en visita</t>
        </is>
      </c>
    </row>
    <row r="7">
      <c r="A7" s="18" t="inlineStr">
        <is>
          <t>C06</t>
        </is>
      </c>
      <c r="B7" s="18" t="inlineStr">
        <is>
          <t>Z1 Parkway–Teusaquillo</t>
        </is>
      </c>
      <c r="C7" s="18" t="inlineStr">
        <is>
          <t>M-06</t>
        </is>
      </c>
      <c r="D7" s="13" t="inlineStr">
        <is>
          <t>4.628678, -74.075199</t>
        </is>
      </c>
      <c r="E7" s="17" t="inlineStr">
        <is>
          <t>Orilla Tienda de Café</t>
        </is>
      </c>
      <c r="F7" s="17" t="inlineStr">
        <is>
          <t>Cl 39 #24-26</t>
        </is>
      </c>
      <c r="G7" s="18" t="inlineStr">
        <is>
          <t>Teusaquillo</t>
        </is>
      </c>
      <c r="H7" s="13" t="inlineStr">
        <is>
          <t>Independiente (1 local)</t>
        </is>
      </c>
      <c r="I7" s="18" t="inlineStr">
        <is>
          <t>C</t>
        </is>
      </c>
      <c r="J7" s="18" t="inlineStr">
        <is>
          <t>Entre semana</t>
        </is>
      </c>
      <c r="K7" s="18" t="inlineStr">
        <is>
          <t>Tarde (14–17)</t>
        </is>
      </c>
      <c r="L7" s="12" t="n">
        <v>46331</v>
      </c>
      <c r="M7" s="18" t="n">
        <v>8</v>
      </c>
      <c r="N7" s="18" t="inlineStr">
        <is>
          <t>Pendiente</t>
        </is>
      </c>
      <c r="O7" s="17" t="inlineStr">
        <is>
          <t>Se caracteriza por su café y la cultura caficultora (Entrega 1). Falta fuente externa.</t>
        </is>
      </c>
      <c r="P7" s="15" t="inlineStr">
        <is>
          <t>https://maps.google.com/?cid=475238163965829388</t>
        </is>
      </c>
      <c r="Q7" s="15" t="inlineStr">
        <is>
          <t>Verificar antes de salir</t>
        </is>
      </c>
    </row>
    <row r="8">
      <c r="A8" s="18" t="inlineStr">
        <is>
          <t>C07</t>
        </is>
      </c>
      <c r="B8" s="18" t="inlineStr">
        <is>
          <t>Z2 La Macarena</t>
        </is>
      </c>
      <c r="C8" s="18" t="inlineStr">
        <is>
          <t>M-07</t>
        </is>
      </c>
      <c r="D8" s="13" t="inlineStr">
        <is>
          <t>4.613318, -74.067341</t>
        </is>
      </c>
      <c r="E8" s="17" t="inlineStr">
        <is>
          <t>CatCoffee</t>
        </is>
      </c>
      <c r="F8" s="17" t="inlineStr">
        <is>
          <t>Cra. 6 #26b-61 Loc 1</t>
        </is>
      </c>
      <c r="G8" s="18" t="inlineStr">
        <is>
          <t>Santa Fe</t>
        </is>
      </c>
      <c r="H8" s="13" t="inlineStr">
        <is>
          <t>Independiente (1 local)</t>
        </is>
      </c>
      <c r="I8" s="18" t="inlineStr">
        <is>
          <t>A</t>
        </is>
      </c>
      <c r="J8" s="18" t="inlineStr">
        <is>
          <t>Entre semana</t>
        </is>
      </c>
      <c r="K8" s="18" t="inlineStr">
        <is>
          <t>Mañana (8–11)</t>
        </is>
      </c>
      <c r="L8" s="12" t="n">
        <v>46325</v>
      </c>
      <c r="M8" s="18" t="n">
        <v>8</v>
      </c>
      <c r="N8" s="18" t="inlineStr">
        <is>
          <t>Pendiente</t>
        </is>
      </c>
      <c r="O8" s="17" t="inlineStr">
        <is>
          <t>Se enfoca en ofrecer experiencias sensoriales sobre la cultura cafetera. Utilizan granos de alta calidad con los que han destacado y obtenido premios en el Coffee Master Colombia.</t>
        </is>
      </c>
      <c r="P8" s="15" t="inlineStr">
        <is>
          <t xml:space="preserve">https://www.instagram.com/catcoffeeco/?hl=es </t>
        </is>
      </c>
      <c r="Q8" s="15" t="inlineStr">
        <is>
          <t>Cumple (b): confirmar en visita</t>
        </is>
      </c>
    </row>
    <row r="9">
      <c r="A9" s="18" t="inlineStr">
        <is>
          <t>C08</t>
        </is>
      </c>
      <c r="B9" s="18" t="inlineStr">
        <is>
          <t>Z2 La Macarena</t>
        </is>
      </c>
      <c r="C9" s="18" t="inlineStr">
        <is>
          <t>M-08</t>
        </is>
      </c>
      <c r="D9" s="13" t="inlineStr">
        <is>
          <t>4.616315, -74.071428</t>
        </is>
      </c>
      <c r="E9" s="17" t="inlineStr">
        <is>
          <t>Oishii Bubble Tea At 7 Days</t>
        </is>
      </c>
      <c r="F9" s="17" t="inlineStr">
        <is>
          <t>Cl 28 #13-22 Local 50</t>
        </is>
      </c>
      <c r="G9" s="18" t="inlineStr">
        <is>
          <t>Santa Fe</t>
        </is>
      </c>
      <c r="H9" s="13" t="inlineStr">
        <is>
          <t>Independiente (1 local)</t>
        </is>
      </c>
      <c r="I9" s="18" t="inlineStr">
        <is>
          <t>B</t>
        </is>
      </c>
      <c r="J9" s="18" t="inlineStr">
        <is>
          <t>Fin de semana</t>
        </is>
      </c>
      <c r="K9" s="18" t="inlineStr">
        <is>
          <t>Tarde (14–17)</t>
        </is>
      </c>
      <c r="L9" s="12" t="inlineStr">
        <is>
          <t>Por definir (sáb. o dom.)</t>
        </is>
      </c>
      <c r="M9" s="18" t="n">
        <v>8</v>
      </c>
      <c r="N9" s="18" t="inlineStr">
        <is>
          <t>Pendiente</t>
        </is>
      </c>
      <c r="O9" s="17" t="inlineStr">
        <is>
          <t>Negocio mixto: té de burbujas, postres y café de especialidad estilo japonés; 4,6 estrellas en Google Maps.</t>
        </is>
      </c>
      <c r="P9" s="15" t="inlineStr">
        <is>
          <t>https://wanderboat.ai/restaurants/colombia/bogota%2C-capital-district/oishii-bubble-tea-at-7-days/6cNVwsvYRUufEI_0k1MO2w</t>
        </is>
      </c>
      <c r="Q9" s="15" t="inlineStr">
        <is>
          <t>Verificar antes de salir</t>
        </is>
      </c>
    </row>
    <row r="10">
      <c r="A10" s="18" t="inlineStr">
        <is>
          <t>C09</t>
        </is>
      </c>
      <c r="B10" s="18" t="inlineStr">
        <is>
          <t>Z3 Centro</t>
        </is>
      </c>
      <c r="C10" s="18" t="inlineStr">
        <is>
          <t>M-09</t>
        </is>
      </c>
      <c r="D10" s="13" t="inlineStr">
        <is>
          <t>4.597011, -74.076033</t>
        </is>
      </c>
      <c r="E10" s="17" t="inlineStr">
        <is>
          <t>Arte y Pasión Café</t>
        </is>
      </c>
      <c r="F10" s="17" t="inlineStr">
        <is>
          <t>Cl 10 #8-87</t>
        </is>
      </c>
      <c r="G10" s="18" t="inlineStr">
        <is>
          <t>La Candelaria</t>
        </is>
      </c>
      <c r="H10" s="13" t="inlineStr">
        <is>
          <t>Pequeña cadena (2–5 locales)</t>
        </is>
      </c>
      <c r="I10" s="18" t="inlineStr">
        <is>
          <t>C</t>
        </is>
      </c>
      <c r="J10" s="18" t="inlineStr">
        <is>
          <t>Entre semana</t>
        </is>
      </c>
      <c r="K10" s="18" t="inlineStr">
        <is>
          <t>Mañana (8–11)</t>
        </is>
      </c>
      <c r="L10" s="24" t="n">
        <v>46329</v>
      </c>
      <c r="M10" s="18" t="n">
        <v>8</v>
      </c>
      <c r="N10" s="18" t="inlineStr">
        <is>
          <t>Pendiente</t>
        </is>
      </c>
      <c r="O10" s="17" t="inlineStr">
        <is>
          <t xml:space="preserve">Escuela de baristas en casa colonial; se especializa en notas sensoriales </t>
        </is>
      </c>
      <c r="P10" s="15" t="inlineStr">
        <is>
          <t>https://arteypasioncafe.com/</t>
        </is>
      </c>
      <c r="Q10" s="15" t="inlineStr">
        <is>
          <t>Cumple (b): confirmar en visita</t>
        </is>
      </c>
    </row>
    <row r="11">
      <c r="A11" s="18" t="inlineStr">
        <is>
          <t>C10</t>
        </is>
      </c>
      <c r="B11" s="18" t="inlineStr">
        <is>
          <t>Z3 Centro</t>
        </is>
      </c>
      <c r="C11" s="18" t="inlineStr">
        <is>
          <t>M-10</t>
        </is>
      </c>
      <c r="D11" s="13" t="inlineStr">
        <is>
          <t>4.600645, -74.073289</t>
        </is>
      </c>
      <c r="E11" s="17" t="inlineStr">
        <is>
          <t>Nossa Café Pastel</t>
        </is>
      </c>
      <c r="F11" s="17" t="inlineStr">
        <is>
          <t>Cl 12C #7A-37</t>
        </is>
      </c>
      <c r="G11" s="18" t="inlineStr">
        <is>
          <t>La Candelaria</t>
        </is>
      </c>
      <c r="H11" s="13" t="inlineStr">
        <is>
          <t>Independiente (1 local)</t>
        </is>
      </c>
      <c r="I11" s="18" t="inlineStr">
        <is>
          <t>A</t>
        </is>
      </c>
      <c r="J11" s="18" t="inlineStr">
        <is>
          <t>Fin de semana</t>
        </is>
      </c>
      <c r="K11" s="18" t="inlineStr">
        <is>
          <t>Tarde (14–17)</t>
        </is>
      </c>
      <c r="L11" s="24" t="inlineStr">
        <is>
          <t>Por definir (sáb. o dom.)</t>
        </is>
      </c>
      <c r="M11" s="18" t="n">
        <v>8</v>
      </c>
      <c r="N11" s="18" t="inlineStr">
        <is>
          <t>Pendiente</t>
        </is>
      </c>
      <c r="O11" s="17" t="inlineStr">
        <is>
          <t>Pastelería y cafetería de autor que busca el maridaje café–pastel. Con café de especialidad.</t>
        </is>
      </c>
      <c r="P11" s="15" t="inlineStr">
        <is>
          <t>https://www.instagram.com/somoscafenossapastel/</t>
        </is>
      </c>
      <c r="Q11" s="15" t="inlineStr">
        <is>
          <t>Cumple (b): confirmar en visita</t>
        </is>
      </c>
    </row>
    <row r="12">
      <c r="A12" s="26" t="inlineStr">
        <is>
          <t>R1</t>
        </is>
      </c>
      <c r="B12" s="26" t="inlineStr">
        <is>
          <t>Z1 Parkway–Teusaquillo</t>
        </is>
      </c>
      <c r="C12" s="26" t="inlineStr">
        <is>
          <t>R-01</t>
        </is>
      </c>
      <c r="D12" s="26" t="inlineStr">
        <is>
          <t>4.625624, -74.070087</t>
        </is>
      </c>
      <c r="E12" s="31" t="inlineStr">
        <is>
          <t>Filtrando Café</t>
        </is>
      </c>
      <c r="F12" s="26" t="inlineStr">
        <is>
          <t>Cra. 17 #39a 8</t>
        </is>
      </c>
      <c r="G12" s="26" t="inlineStr">
        <is>
          <t>Teusaquillo</t>
        </is>
      </c>
      <c r="H12" s="28" t="inlineStr">
        <is>
          <t>Independiente (1 local)</t>
        </is>
      </c>
      <c r="I12" s="26" t="inlineStr">
        <is>
          <t>A</t>
        </is>
      </c>
      <c r="J12" s="26" t="inlineStr">
        <is>
          <t>Fin de semana</t>
        </is>
      </c>
      <c r="K12" s="26" t="inlineStr">
        <is>
          <t>Mañana (8–11)</t>
        </is>
      </c>
      <c r="L12" s="26" t="n"/>
      <c r="M12" s="26" t="n">
        <v>0</v>
      </c>
      <c r="N12" s="26" t="inlineStr">
        <is>
          <t>Reserva</t>
        </is>
      </c>
      <c r="O12" s="31" t="inlineStr">
        <is>
          <t>Cafeteria dedicada a cultivar la cultura cafetera en Bogotá, realizan recorridos y catas únicas en su establecimiento</t>
        </is>
      </c>
      <c r="P12" s="29" t="inlineStr">
        <is>
          <t>https://www.instagram.com/filtrandocafes/</t>
        </is>
      </c>
      <c r="Q12" s="29" t="inlineStr">
        <is>
          <t>Cumple (b): confirmar en visita</t>
        </is>
      </c>
    </row>
    <row r="13">
      <c r="A13" s="26" t="inlineStr">
        <is>
          <t>R2</t>
        </is>
      </c>
      <c r="B13" s="26" t="inlineStr">
        <is>
          <t>Z2 La Macarena</t>
        </is>
      </c>
      <c r="C13" s="26" t="inlineStr">
        <is>
          <t>R-02</t>
        </is>
      </c>
      <c r="D13" s="26" t="inlineStr">
        <is>
          <t>4.615197, -74.071853</t>
        </is>
      </c>
      <c r="E13" s="31" t="inlineStr">
        <is>
          <t>Terracota Café y Más</t>
        </is>
      </c>
      <c r="F13" s="30" t="inlineStr">
        <is>
          <t>Kr 13 #27-00</t>
        </is>
      </c>
      <c r="G13" s="26" t="inlineStr">
        <is>
          <t>Santa Fe</t>
        </is>
      </c>
      <c r="H13" s="26" t="inlineStr">
        <is>
          <t>Pequeña cadena (2–5 locales)</t>
        </is>
      </c>
      <c r="I13" s="26" t="inlineStr">
        <is>
          <t>B</t>
        </is>
      </c>
      <c r="J13" s="26" t="inlineStr">
        <is>
          <t>Entre semana</t>
        </is>
      </c>
      <c r="K13" s="26" t="inlineStr">
        <is>
          <t>Tarde (14–17)</t>
        </is>
      </c>
      <c r="L13" s="26" t="n"/>
      <c r="M13" s="26" t="n">
        <v>0</v>
      </c>
      <c r="N13" s="26" t="inlineStr">
        <is>
          <t>Reserva</t>
        </is>
      </c>
      <c r="O13" s="31" t="inlineStr">
        <is>
          <t>Premiada en Coffee Master Colombia: 1.er lugar 2024, 2.º 2025 y 3.º 2026; ofrece experiencias sensoriales sobre cultura cafetera.</t>
        </is>
      </c>
      <c r="P13" s="29" t="inlineStr">
        <is>
          <t>https://terracotacafeymas.com/</t>
        </is>
      </c>
      <c r="Q13" s="29" t="inlineStr">
        <is>
          <t>Cumple (b): confirmar en visita</t>
        </is>
      </c>
    </row>
    <row r="14">
      <c r="A14" s="26" t="inlineStr">
        <is>
          <t>R3</t>
        </is>
      </c>
      <c r="B14" s="26" t="inlineStr">
        <is>
          <t>Z3 Centro</t>
        </is>
      </c>
      <c r="C14" s="26" t="inlineStr">
        <is>
          <t>R-03</t>
        </is>
      </c>
      <c r="D14" s="26" t="inlineStr">
        <is>
          <t>4.598687, -74.069792</t>
        </is>
      </c>
      <c r="E14" s="31" t="inlineStr">
        <is>
          <t>Café Nos</t>
        </is>
      </c>
      <c r="F14" s="30" t="inlineStr">
        <is>
          <t>Cl. 12d #3 15</t>
        </is>
      </c>
      <c r="G14" s="26" t="inlineStr">
        <is>
          <t>Santa Fe</t>
        </is>
      </c>
      <c r="H14" s="26" t="inlineStr">
        <is>
          <t>Independiente (1 local)</t>
        </is>
      </c>
      <c r="I14" s="26" t="inlineStr">
        <is>
          <t>C</t>
        </is>
      </c>
      <c r="J14" s="26" t="inlineStr">
        <is>
          <t>Fin de semana</t>
        </is>
      </c>
      <c r="K14" s="26" t="inlineStr">
        <is>
          <t>Tarde (14–17)</t>
        </is>
      </c>
      <c r="L14" s="26" t="n"/>
      <c r="M14" s="26" t="n">
        <v>0</v>
      </c>
      <c r="N14" s="26" t="inlineStr">
        <is>
          <t>Reserva</t>
        </is>
      </c>
      <c r="O14" s="31" t="inlineStr">
        <is>
          <t>Con una variedad inmensa de bebidas por probar, café nos tiene una estética minimalista, bebidas de autor.</t>
        </is>
      </c>
      <c r="P14" s="29" t="inlineStr">
        <is>
          <t>https://www.instagram.com/cafe.noscol?igsh=Z2hwYWNua2lzNnRy</t>
        </is>
      </c>
      <c r="Q14" s="29" t="inlineStr">
        <is>
          <t>Verificar antes de salir</t>
        </is>
      </c>
    </row>
    <row r="15">
      <c r="A15" s="26" t="n"/>
      <c r="B15" s="26" t="n"/>
      <c r="C15" s="26" t="n"/>
      <c r="D15" s="26" t="n"/>
      <c r="E15" s="31" t="n"/>
      <c r="F15" s="26" t="n"/>
      <c r="G15" s="26" t="n"/>
      <c r="H15" s="26" t="n"/>
      <c r="I15" s="26" t="n"/>
      <c r="J15" s="26" t="n"/>
      <c r="K15" s="26" t="n"/>
      <c r="L15" s="26" t="n"/>
      <c r="M15" s="26" t="n">
        <v>0</v>
      </c>
      <c r="N15" s="26" t="inlineStr">
        <is>
          <t>Reserva</t>
        </is>
      </c>
      <c r="O15" s="26" t="n"/>
      <c r="P15" s="26" t="n"/>
    </row>
    <row r="17" ht="100" customHeight="1" s="45">
      <c r="A17" s="32" t="inlineStr">
        <is>
          <t>Notas: (1) Lista tomada de las «Cafeterías de estudio» de la Entrega 1. (2) id_mapa M-01…M-10 y R-01…R-03 es PROVISIONAL: reemplácelo por el ID del shapefile de la Entrega 3a; la dirección va en su propia columna. (3) Responsable, día y franja son la asignación balanceada: 5 entre semana / 5 fin de semana; 5 mañana / 5 tarde; A=4, B=3, C=3. Las fechas de fin de semana están «Por definir»: en cada día, A, B y C deben visitar cafés distintos. (4) verificacion_especialidad: «Verificar antes de salir» = la evidencia actual no alcanza para el criterio del Leeme; se resuelve antes de salir a campo. (5) Las visitas empiezan después de la retroalimentación de la Entrega 3b. (6) La fila 15 queda libre por si se añade una reserva adicional (R4).</t>
        </is>
      </c>
    </row>
    <row r="21" ht="15.75" customHeight="1" s="45"/>
    <row r="22" ht="15.75" customHeight="1" s="45"/>
    <row r="23" ht="15.75" customHeight="1" s="45"/>
    <row r="24" ht="15.75" customHeight="1" s="45"/>
    <row r="25" ht="15.75" customHeight="1" s="45"/>
    <row r="26" ht="15.75" customHeight="1" s="45"/>
    <row r="27" ht="15.75" customHeight="1" s="45"/>
    <row r="28" ht="15.75" customHeight="1" s="45"/>
    <row r="29" ht="15.75" customHeight="1" s="45"/>
    <row r="30" ht="15.75" customHeight="1" s="45"/>
    <row r="31" ht="15.75" customHeight="1" s="45"/>
    <row r="32" ht="15.75" customHeight="1" s="45"/>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mergeCells count="1">
    <mergeCell ref="A17:Q17"/>
  </mergeCells>
  <dataValidations count="9">
    <dataValidation sqref="B2:B15" showDropDown="0" showInputMessage="0" showErrorMessage="0" allowBlank="1" type="list">
      <formula1>Listas!$B$2:$B$4</formula1>
    </dataValidation>
    <dataValidation sqref="I2:I15" showDropDown="0" showInputMessage="0" showErrorMessage="0" allowBlank="1" type="list">
      <formula1>Listas!$F$2:$F$4</formula1>
    </dataValidation>
    <dataValidation sqref="J2:J15" showDropDown="0" showInputMessage="0" showErrorMessage="0" allowBlank="1" type="list">
      <formula1>Listas!$D$2:$D$3</formula1>
    </dataValidation>
    <dataValidation sqref="H2:H12" showDropDown="0" showInputMessage="1" showErrorMessage="1" allowBlank="1" prompt="Dato inválido - Valor no permitido. Revise el Diccionario." type="list">
      <formula1>Listas!$C$2:$C$5</formula1>
    </dataValidation>
    <dataValidation sqref="N2:N15" showDropDown="0" showInputMessage="0" showErrorMessage="0" allowBlank="1" type="list">
      <formula1>Listas!$M$2:$M$6</formula1>
    </dataValidation>
    <dataValidation sqref="G2:G15" showDropDown="0" showInputMessage="0" showErrorMessage="0" allowBlank="1" type="list">
      <formula1>Listas!$A$2:$A$9</formula1>
    </dataValidation>
    <dataValidation sqref="K2:K15" showDropDown="0" showInputMessage="0" showErrorMessage="0" allowBlank="1" type="list">
      <formula1>Listas!$E$2:$E$3</formula1>
    </dataValidation>
    <dataValidation sqref="H13:H15" showDropDown="0" showInputMessage="0" showErrorMessage="0" allowBlank="1" type="list">
      <formula1>Listas!$C$2:$C$5</formula1>
    </dataValidation>
    <dataValidation sqref="Q2:Q15" showDropDown="0" showInputMessage="0" showErrorMessage="0" allowBlank="1" type="list">
      <formula1>Listas!$O$2:$O$4</formula1>
    </dataValidation>
  </dataValidations>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s>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3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12" customWidth="1" style="45" min="1" max="1"/>
    <col width="10" customWidth="1" style="45" min="2" max="2"/>
    <col width="22.29" customWidth="1" style="45" min="3" max="3"/>
    <col width="38" customWidth="1" style="45" min="4" max="4"/>
    <col width="14" customWidth="1" style="45" min="5" max="5"/>
    <col width="22" customWidth="1" style="45" min="6" max="6"/>
    <col width="26" customWidth="1" style="45" min="7" max="7"/>
    <col width="12" customWidth="1" style="45" min="8" max="8"/>
    <col width="13" customWidth="1" style="45" min="9" max="9"/>
    <col width="15" customWidth="1" style="45" min="10" max="10"/>
    <col width="10" customWidth="1" style="45" min="11" max="11"/>
    <col width="14" customWidth="1" style="45" min="12" max="12"/>
    <col width="9" customWidth="1" style="45" min="13" max="26"/>
    <col width="12" customWidth="1" style="45" min="27" max="30"/>
    <col width="18" customWidth="1" style="45" min="31" max="31"/>
    <col width="12" customWidth="1" style="45" min="32" max="35"/>
    <col width="40" customWidth="1" style="45" min="36" max="36"/>
  </cols>
  <sheetData>
    <row r="1" ht="33.75" customHeight="1" s="45">
      <c r="A1" s="5" t="inlineStr">
        <is>
          <t>cafe_id</t>
        </is>
      </c>
      <c r="B1" s="5" t="inlineStr">
        <is>
          <t>id_mapa</t>
        </is>
      </c>
      <c r="C1" s="5" t="inlineStr">
        <is>
          <t>coordenada</t>
        </is>
      </c>
      <c r="D1" s="5" t="inlineStr">
        <is>
          <t>nombre_cafe</t>
        </is>
      </c>
      <c r="E1" s="5" t="inlineStr">
        <is>
          <t>localidad</t>
        </is>
      </c>
      <c r="F1" s="5" t="inlineStr">
        <is>
          <t>zona_muestreo</t>
        </is>
      </c>
      <c r="G1" s="5" t="inlineStr">
        <is>
          <t>tipo_negocio</t>
        </is>
      </c>
      <c r="H1" s="5" t="inlineStr">
        <is>
          <t>fecha</t>
        </is>
      </c>
      <c r="I1" s="5" t="inlineStr">
        <is>
          <t>dia_tipo</t>
        </is>
      </c>
      <c r="J1" s="5" t="inlineStr">
        <is>
          <t>franja</t>
        </is>
      </c>
      <c r="K1" s="5" t="inlineStr">
        <is>
          <t>observador</t>
        </is>
      </c>
      <c r="L1" s="5" t="inlineStr">
        <is>
          <t>autorizacion_local</t>
        </is>
      </c>
      <c r="M1" s="8" t="inlineStr">
        <is>
          <t>st1</t>
        </is>
      </c>
      <c r="N1" s="8" t="inlineStr">
        <is>
          <t>st2</t>
        </is>
      </c>
      <c r="O1" s="8" t="inlineStr">
        <is>
          <t>st3</t>
        </is>
      </c>
      <c r="P1" s="8" t="inlineStr">
        <is>
          <t>st4</t>
        </is>
      </c>
      <c r="Q1" s="8" t="inlineStr">
        <is>
          <t>st5</t>
        </is>
      </c>
      <c r="R1" s="8" t="inlineStr">
        <is>
          <t>st6</t>
        </is>
      </c>
      <c r="S1" s="8" t="inlineStr">
        <is>
          <t>am1</t>
        </is>
      </c>
      <c r="T1" s="8" t="inlineStr">
        <is>
          <t>am2</t>
        </is>
      </c>
      <c r="U1" s="8" t="inlineStr">
        <is>
          <t>am3</t>
        </is>
      </c>
      <c r="V1" s="8" t="inlineStr">
        <is>
          <t>am4</t>
        </is>
      </c>
      <c r="W1" s="8" t="inlineStr">
        <is>
          <t>am5</t>
        </is>
      </c>
      <c r="X1" s="8" t="inlineStr">
        <is>
          <t>am6</t>
        </is>
      </c>
      <c r="Y1" s="8" t="inlineStr">
        <is>
          <t>am7</t>
        </is>
      </c>
      <c r="Z1" s="8" t="inlineStr">
        <is>
          <t>am8</t>
        </is>
      </c>
      <c r="AA1" s="8" t="inlineStr">
        <is>
          <t>idx_story</t>
        </is>
      </c>
      <c r="AB1" s="8" t="inlineStr">
        <is>
          <t>idx_amb</t>
        </is>
      </c>
      <c r="AC1" s="8" t="inlineStr">
        <is>
          <t>idx_story_10</t>
        </is>
      </c>
      <c r="AD1" s="8" t="inlineStr">
        <is>
          <t>idx_amb_10</t>
        </is>
      </c>
      <c r="AE1" s="8" t="inlineStr">
        <is>
          <t>ficha_completa</t>
        </is>
      </c>
      <c r="AF1" s="5" t="inlineStr">
        <is>
          <t>tiene_instagram</t>
        </is>
      </c>
      <c r="AG1" s="5" t="inlineStr">
        <is>
          <t>google_rating</t>
        </is>
      </c>
      <c r="AH1" s="5" t="inlineStr">
        <is>
          <t>google_resenas</t>
        </is>
      </c>
      <c r="AI1" s="5" t="inlineStr">
        <is>
          <t>fotos_ok</t>
        </is>
      </c>
      <c r="AJ1" s="5" t="inlineStr">
        <is>
          <t>obs_texto</t>
        </is>
      </c>
    </row>
    <row r="2">
      <c r="A2" s="10" t="inlineStr">
        <is>
          <t>EJEMPLO</t>
        </is>
      </c>
      <c r="B2" s="10" t="inlineStr">
        <is>
          <t>M-000</t>
        </is>
      </c>
      <c r="C2" s="10" t="n"/>
      <c r="D2" s="10" t="inlineStr">
        <is>
          <t>Café Ejemplo</t>
        </is>
      </c>
      <c r="E2" s="10" t="inlineStr">
        <is>
          <t>Chapinero</t>
        </is>
      </c>
      <c r="F2" s="10" t="inlineStr">
        <is>
          <t>Z1 Parkway–Teusaquillo</t>
        </is>
      </c>
      <c r="G2" s="10" t="inlineStr">
        <is>
          <t>Independiente (1 local)</t>
        </is>
      </c>
      <c r="H2" s="11" t="n">
        <v>46340</v>
      </c>
      <c r="I2" s="10" t="inlineStr">
        <is>
          <t>Fin de semana</t>
        </is>
      </c>
      <c r="J2" s="10" t="inlineStr">
        <is>
          <t>Mañana (8–11)</t>
        </is>
      </c>
      <c r="K2" s="10" t="inlineStr">
        <is>
          <t>A</t>
        </is>
      </c>
      <c r="L2" s="10" t="n">
        <v>1</v>
      </c>
      <c r="M2" s="10" t="n">
        <v>1</v>
      </c>
      <c r="N2" s="10" t="n">
        <v>1</v>
      </c>
      <c r="O2" s="10" t="n">
        <v>0</v>
      </c>
      <c r="P2" s="10" t="n">
        <v>1</v>
      </c>
      <c r="Q2" s="10" t="n">
        <v>0</v>
      </c>
      <c r="R2" s="10" t="n">
        <v>1</v>
      </c>
      <c r="S2" s="10" t="n">
        <v>1</v>
      </c>
      <c r="T2" s="10" t="n">
        <v>1</v>
      </c>
      <c r="U2" s="10" t="n">
        <v>0</v>
      </c>
      <c r="V2" s="10" t="n">
        <v>1</v>
      </c>
      <c r="W2" s="10" t="n">
        <v>1</v>
      </c>
      <c r="X2" s="10" t="n">
        <v>1</v>
      </c>
      <c r="Y2" s="10" t="n">
        <v>0</v>
      </c>
      <c r="Z2" s="10" t="n">
        <v>1</v>
      </c>
      <c r="AA2" s="16">
        <f>IF(COUNT(M2:R2)=6,SUM(M2:R2),"")</f>
        <v/>
      </c>
      <c r="AB2" s="16">
        <f>IF(COUNT(S2:Z2)=8,SUM(S2:Z2),"")</f>
        <v/>
      </c>
      <c r="AC2" s="16">
        <f>IF(AA2="","",AA2/6*10)</f>
        <v/>
      </c>
      <c r="AD2" s="16">
        <f>IF(AB2="","",AB2/8*10)</f>
        <v/>
      </c>
      <c r="AE2" s="19">
        <f>IF(A2="","",IF(COUNT(M2:Z2)=14,"Completa","Incompleta: "&amp;COUNT(M2:Z2)&amp;" de 14"))</f>
        <v/>
      </c>
      <c r="AF2" s="10" t="n">
        <v>1</v>
      </c>
      <c r="AG2" s="10" t="n">
        <v>4.6</v>
      </c>
      <c r="AH2" s="10" t="n">
        <v>310</v>
      </c>
      <c r="AI2" s="10" t="n">
        <v>1</v>
      </c>
      <c r="AJ2" s="10" t="inlineStr">
        <is>
          <t>Mural con mapa de fincas</t>
        </is>
      </c>
    </row>
    <row r="3">
      <c r="A3" s="13" t="inlineStr">
        <is>
          <t>C01</t>
        </is>
      </c>
      <c r="B3" s="13" t="inlineStr">
        <is>
          <t>M-01</t>
        </is>
      </c>
      <c r="C3" s="13" t="inlineStr">
        <is>
          <t>4.631853, -74.073582</t>
        </is>
      </c>
      <c r="D3" s="13" t="inlineStr">
        <is>
          <t>Quipile Café de Origen</t>
        </is>
      </c>
      <c r="E3" s="13" t="inlineStr">
        <is>
          <t>Teusaquillo</t>
        </is>
      </c>
      <c r="F3" s="13" t="inlineStr">
        <is>
          <t>Z1 Parkway–Teusaquillo</t>
        </is>
      </c>
      <c r="G3" s="13" t="inlineStr">
        <is>
          <t>Pequeña cadena (2–5 locales)</t>
        </is>
      </c>
      <c r="H3" s="14" t="n"/>
      <c r="I3" s="13" t="n"/>
      <c r="J3" s="13" t="n"/>
      <c r="K3" s="13" t="inlineStr">
        <is>
          <t>A</t>
        </is>
      </c>
      <c r="L3" s="13" t="n"/>
      <c r="M3" s="13" t="n"/>
      <c r="N3" s="13" t="n"/>
      <c r="O3" s="13" t="n"/>
      <c r="P3" s="13" t="n"/>
      <c r="Q3" s="13" t="n"/>
      <c r="R3" s="13" t="n"/>
      <c r="S3" s="13" t="n"/>
      <c r="T3" s="13" t="n"/>
      <c r="U3" s="13" t="n"/>
      <c r="V3" s="13" t="n"/>
      <c r="W3" s="13" t="n"/>
      <c r="X3" s="13" t="n"/>
      <c r="Y3" s="13" t="n"/>
      <c r="Z3" s="13" t="n"/>
      <c r="AA3" s="21">
        <f>IF(COUNT(M3:R3)=6,SUM(M3:R3),"")</f>
        <v/>
      </c>
      <c r="AB3" s="21">
        <f>IF(COUNT(S3:Z3)=8,SUM(S3:Z3),"")</f>
        <v/>
      </c>
      <c r="AC3" s="21">
        <f>IF(AA3="","",AA3/6*10)</f>
        <v/>
      </c>
      <c r="AD3" s="21">
        <f>IF(AB3="","",AB3/8*10)</f>
        <v/>
      </c>
      <c r="AE3" s="22">
        <f>IF(A3="","",IF(COUNT(M3:Z3)=14,"Completa","Incompleta: "&amp;COUNT(M3:Z3)&amp;" de 14"))</f>
        <v/>
      </c>
      <c r="AF3" s="13" t="n"/>
      <c r="AG3" s="13" t="n"/>
      <c r="AH3" s="13" t="n"/>
      <c r="AI3" s="13" t="n"/>
      <c r="AJ3" s="13" t="n"/>
    </row>
    <row r="4">
      <c r="A4" s="13" t="inlineStr">
        <is>
          <t>C02</t>
        </is>
      </c>
      <c r="B4" s="13" t="inlineStr">
        <is>
          <t>M-02</t>
        </is>
      </c>
      <c r="C4" s="13" t="inlineStr">
        <is>
          <t>4.628863, -74.072224</t>
        </is>
      </c>
      <c r="D4" s="13" t="inlineStr">
        <is>
          <t>Rolo Café PW</t>
        </is>
      </c>
      <c r="E4" s="13" t="inlineStr">
        <is>
          <t>Teusaquillo</t>
        </is>
      </c>
      <c r="F4" s="13" t="inlineStr">
        <is>
          <t>Z1 Parkway–Teusaquillo</t>
        </is>
      </c>
      <c r="G4" s="13" t="inlineStr">
        <is>
          <t>Independiente (1 local)</t>
        </is>
      </c>
      <c r="H4" s="14" t="n"/>
      <c r="I4" s="13" t="n"/>
      <c r="J4" s="13" t="n"/>
      <c r="K4" s="13" t="inlineStr">
        <is>
          <t>B</t>
        </is>
      </c>
      <c r="L4" s="13" t="n"/>
      <c r="M4" s="13" t="n"/>
      <c r="N4" s="13" t="n"/>
      <c r="O4" s="13" t="n"/>
      <c r="P4" s="13" t="n"/>
      <c r="Q4" s="13" t="n"/>
      <c r="R4" s="13" t="n"/>
      <c r="S4" s="13" t="n"/>
      <c r="T4" s="13" t="n"/>
      <c r="U4" s="13" t="n"/>
      <c r="V4" s="13" t="n"/>
      <c r="W4" s="13" t="n"/>
      <c r="X4" s="13" t="n"/>
      <c r="Y4" s="13" t="n"/>
      <c r="Z4" s="13" t="n"/>
      <c r="AA4" s="21">
        <f>IF(COUNT(M4:R4)=6,SUM(M4:R4),"")</f>
        <v/>
      </c>
      <c r="AB4" s="21">
        <f>IF(COUNT(S4:Z4)=8,SUM(S4:Z4),"")</f>
        <v/>
      </c>
      <c r="AC4" s="21">
        <f>IF(AA4="","",AA4/6*10)</f>
        <v/>
      </c>
      <c r="AD4" s="21">
        <f>IF(AB4="","",AB4/8*10)</f>
        <v/>
      </c>
      <c r="AE4" s="22">
        <f>IF(A4="","",IF(COUNT(M4:Z4)=14,"Completa","Incompleta: "&amp;COUNT(M4:Z4)&amp;" de 14"))</f>
        <v/>
      </c>
      <c r="AF4" s="13" t="n"/>
      <c r="AG4" s="13" t="n"/>
      <c r="AH4" s="13" t="n"/>
      <c r="AI4" s="13" t="n"/>
      <c r="AJ4" s="13" t="n"/>
    </row>
    <row r="5">
      <c r="A5" s="13" t="inlineStr">
        <is>
          <t>C03</t>
        </is>
      </c>
      <c r="B5" s="13" t="inlineStr">
        <is>
          <t>M-03</t>
        </is>
      </c>
      <c r="C5" s="13" t="inlineStr">
        <is>
          <t>4.622475, -74.070058</t>
        </is>
      </c>
      <c r="D5" s="13" t="inlineStr">
        <is>
          <t>Bogotá Coffee Roasters LAB Cine y Café</t>
        </is>
      </c>
      <c r="E5" s="13" t="inlineStr">
        <is>
          <t>Teusaquillo</t>
        </is>
      </c>
      <c r="F5" s="13" t="inlineStr">
        <is>
          <t>Z1 Parkway–Teusaquillo</t>
        </is>
      </c>
      <c r="G5" s="13" t="inlineStr">
        <is>
          <t>Independiente (1 local)</t>
        </is>
      </c>
      <c r="H5" s="14" t="n"/>
      <c r="I5" s="13" t="n"/>
      <c r="J5" s="13" t="n"/>
      <c r="K5" s="13" t="inlineStr">
        <is>
          <t>C</t>
        </is>
      </c>
      <c r="L5" s="13" t="n"/>
      <c r="M5" s="13" t="n"/>
      <c r="N5" s="13" t="n"/>
      <c r="O5" s="13" t="n"/>
      <c r="P5" s="13" t="n"/>
      <c r="Q5" s="13" t="n"/>
      <c r="R5" s="13" t="n"/>
      <c r="S5" s="13" t="n"/>
      <c r="T5" s="13" t="n"/>
      <c r="U5" s="13" t="n"/>
      <c r="V5" s="13" t="n"/>
      <c r="W5" s="13" t="n"/>
      <c r="X5" s="13" t="n"/>
      <c r="Y5" s="13" t="n"/>
      <c r="Z5" s="13" t="n"/>
      <c r="AA5" s="21">
        <f>IF(COUNT(M5:R5)=6,SUM(M5:R5),"")</f>
        <v/>
      </c>
      <c r="AB5" s="21">
        <f>IF(COUNT(S5:Z5)=8,SUM(S5:Z5),"")</f>
        <v/>
      </c>
      <c r="AC5" s="21">
        <f>IF(AA5="","",AA5/6*10)</f>
        <v/>
      </c>
      <c r="AD5" s="21">
        <f>IF(AB5="","",AB5/8*10)</f>
        <v/>
      </c>
      <c r="AE5" s="22">
        <f>IF(A5="","",IF(COUNT(M5:Z5)=14,"Completa","Incompleta: "&amp;COUNT(M5:Z5)&amp;" de 14"))</f>
        <v/>
      </c>
      <c r="AF5" s="13" t="n"/>
      <c r="AG5" s="13" t="n"/>
      <c r="AH5" s="13" t="n"/>
      <c r="AI5" s="13" t="n"/>
      <c r="AJ5" s="13" t="n"/>
    </row>
    <row r="6">
      <c r="A6" s="13" t="inlineStr">
        <is>
          <t>C04</t>
        </is>
      </c>
      <c r="B6" s="13" t="inlineStr">
        <is>
          <t>M-04</t>
        </is>
      </c>
      <c r="C6" s="13" t="inlineStr">
        <is>
          <t>4.628731, -74.075306</t>
        </is>
      </c>
      <c r="D6" s="13" t="inlineStr">
        <is>
          <t>El Bourbon Café</t>
        </is>
      </c>
      <c r="E6" s="13" t="inlineStr">
        <is>
          <t>Teusaquillo</t>
        </is>
      </c>
      <c r="F6" s="13" t="inlineStr">
        <is>
          <t>Z1 Parkway–Teusaquillo</t>
        </is>
      </c>
      <c r="G6" s="13" t="inlineStr">
        <is>
          <t>Independiente (1 local)</t>
        </is>
      </c>
      <c r="H6" s="14" t="n"/>
      <c r="I6" s="13" t="n"/>
      <c r="J6" s="13" t="n"/>
      <c r="K6" s="13" t="inlineStr">
        <is>
          <t>A</t>
        </is>
      </c>
      <c r="L6" s="13" t="n"/>
      <c r="M6" s="13" t="n"/>
      <c r="N6" s="13" t="n"/>
      <c r="O6" s="13" t="n"/>
      <c r="P6" s="13" t="n"/>
      <c r="Q6" s="13" t="n"/>
      <c r="R6" s="13" t="n"/>
      <c r="S6" s="13" t="n"/>
      <c r="T6" s="13" t="n"/>
      <c r="U6" s="13" t="n"/>
      <c r="V6" s="13" t="n"/>
      <c r="W6" s="13" t="n"/>
      <c r="X6" s="13" t="n"/>
      <c r="Y6" s="13" t="n"/>
      <c r="Z6" s="13" t="n"/>
      <c r="AA6" s="21">
        <f>IF(COUNT(M6:R6)=6,SUM(M6:R6),"")</f>
        <v/>
      </c>
      <c r="AB6" s="21">
        <f>IF(COUNT(S6:Z6)=8,SUM(S6:Z6),"")</f>
        <v/>
      </c>
      <c r="AC6" s="21">
        <f>IF(AA6="","",AA6/6*10)</f>
        <v/>
      </c>
      <c r="AD6" s="21">
        <f>IF(AB6="","",AB6/8*10)</f>
        <v/>
      </c>
      <c r="AE6" s="22">
        <f>IF(A6="","",IF(COUNT(M6:Z6)=14,"Completa","Incompleta: "&amp;COUNT(M6:Z6)&amp;" de 14"))</f>
        <v/>
      </c>
      <c r="AF6" s="13" t="n"/>
      <c r="AG6" s="13" t="n"/>
      <c r="AH6" s="13" t="n"/>
      <c r="AI6" s="13" t="n"/>
      <c r="AJ6" s="13" t="n"/>
    </row>
    <row r="7">
      <c r="A7" s="13" t="inlineStr">
        <is>
          <t>C05</t>
        </is>
      </c>
      <c r="B7" s="13" t="inlineStr">
        <is>
          <t>M-05</t>
        </is>
      </c>
      <c r="C7" s="13" t="inlineStr">
        <is>
          <t>4.626248, -74.071168</t>
        </is>
      </c>
      <c r="D7" s="13" t="inlineStr">
        <is>
          <t>Ezcarlata Café</t>
        </is>
      </c>
      <c r="E7" s="13" t="inlineStr">
        <is>
          <t>Teusaquillo</t>
        </is>
      </c>
      <c r="F7" s="13" t="inlineStr">
        <is>
          <t>Z1 Parkway–Teusaquillo</t>
        </is>
      </c>
      <c r="G7" s="13" t="inlineStr">
        <is>
          <t>Independiente (1 local)</t>
        </is>
      </c>
      <c r="H7" s="14" t="n"/>
      <c r="I7" s="13" t="n"/>
      <c r="J7" s="13" t="n"/>
      <c r="K7" s="13" t="inlineStr">
        <is>
          <t>B</t>
        </is>
      </c>
      <c r="L7" s="13" t="n"/>
      <c r="M7" s="13" t="n"/>
      <c r="N7" s="13" t="n"/>
      <c r="O7" s="13" t="n"/>
      <c r="P7" s="13" t="n"/>
      <c r="Q7" s="13" t="n"/>
      <c r="R7" s="13" t="n"/>
      <c r="S7" s="13" t="n"/>
      <c r="T7" s="13" t="n"/>
      <c r="U7" s="13" t="n"/>
      <c r="V7" s="13" t="n"/>
      <c r="W7" s="13" t="n"/>
      <c r="X7" s="13" t="n"/>
      <c r="Y7" s="13" t="n"/>
      <c r="Z7" s="13" t="n"/>
      <c r="AA7" s="21">
        <f>IF(COUNT(M7:R7)=6,SUM(M7:R7),"")</f>
        <v/>
      </c>
      <c r="AB7" s="21">
        <f>IF(COUNT(S7:Z7)=8,SUM(S7:Z7),"")</f>
        <v/>
      </c>
      <c r="AC7" s="21">
        <f>IF(AA7="","",AA7/6*10)</f>
        <v/>
      </c>
      <c r="AD7" s="21">
        <f>IF(AB7="","",AB7/8*10)</f>
        <v/>
      </c>
      <c r="AE7" s="22">
        <f>IF(A7="","",IF(COUNT(M7:Z7)=14,"Completa","Incompleta: "&amp;COUNT(M7:Z7)&amp;" de 14"))</f>
        <v/>
      </c>
      <c r="AF7" s="13" t="n"/>
      <c r="AG7" s="13" t="n"/>
      <c r="AH7" s="13" t="n"/>
      <c r="AI7" s="13" t="n"/>
      <c r="AJ7" s="13" t="n"/>
    </row>
    <row r="8">
      <c r="A8" s="13" t="inlineStr">
        <is>
          <t>C06</t>
        </is>
      </c>
      <c r="B8" s="13" t="inlineStr">
        <is>
          <t>M-06</t>
        </is>
      </c>
      <c r="C8" s="13" t="inlineStr">
        <is>
          <t>4.628678, -74.075199</t>
        </is>
      </c>
      <c r="D8" s="13" t="inlineStr">
        <is>
          <t>Orilla Tienda de Café</t>
        </is>
      </c>
      <c r="E8" s="13" t="inlineStr">
        <is>
          <t>Teusaquillo</t>
        </is>
      </c>
      <c r="F8" s="13" t="inlineStr">
        <is>
          <t>Z1 Parkway–Teusaquillo</t>
        </is>
      </c>
      <c r="G8" s="13" t="inlineStr">
        <is>
          <t>Independiente (1 local)</t>
        </is>
      </c>
      <c r="H8" s="14" t="n"/>
      <c r="I8" s="13" t="n"/>
      <c r="J8" s="13" t="n"/>
      <c r="K8" s="13" t="inlineStr">
        <is>
          <t>C</t>
        </is>
      </c>
      <c r="L8" s="13" t="n"/>
      <c r="M8" s="13" t="n"/>
      <c r="N8" s="13" t="n"/>
      <c r="O8" s="13" t="n"/>
      <c r="P8" s="13" t="n"/>
      <c r="Q8" s="13" t="n"/>
      <c r="R8" s="13" t="n"/>
      <c r="S8" s="13" t="n"/>
      <c r="T8" s="13" t="n"/>
      <c r="U8" s="13" t="n"/>
      <c r="V8" s="13" t="n"/>
      <c r="W8" s="13" t="n"/>
      <c r="X8" s="13" t="n"/>
      <c r="Y8" s="13" t="n"/>
      <c r="Z8" s="13" t="n"/>
      <c r="AA8" s="21">
        <f>IF(COUNT(M8:R8)=6,SUM(M8:R8),"")</f>
        <v/>
      </c>
      <c r="AB8" s="21">
        <f>IF(COUNT(S8:Z8)=8,SUM(S8:Z8),"")</f>
        <v/>
      </c>
      <c r="AC8" s="21">
        <f>IF(AA8="","",AA8/6*10)</f>
        <v/>
      </c>
      <c r="AD8" s="21">
        <f>IF(AB8="","",AB8/8*10)</f>
        <v/>
      </c>
      <c r="AE8" s="22">
        <f>IF(A8="","",IF(COUNT(M8:Z8)=14,"Completa","Incompleta: "&amp;COUNT(M8:Z8)&amp;" de 14"))</f>
        <v/>
      </c>
      <c r="AF8" s="13" t="n"/>
      <c r="AG8" s="13" t="n"/>
      <c r="AH8" s="13" t="n"/>
      <c r="AI8" s="13" t="n"/>
      <c r="AJ8" s="13" t="n"/>
    </row>
    <row r="9">
      <c r="A9" s="13" t="inlineStr">
        <is>
          <t>C07</t>
        </is>
      </c>
      <c r="B9" s="13" t="inlineStr">
        <is>
          <t>M-07</t>
        </is>
      </c>
      <c r="C9" s="13" t="inlineStr">
        <is>
          <t>4.613318, -74.067341</t>
        </is>
      </c>
      <c r="D9" s="13" t="inlineStr">
        <is>
          <t>CatCoffee</t>
        </is>
      </c>
      <c r="E9" s="13" t="inlineStr">
        <is>
          <t>Santa Fe</t>
        </is>
      </c>
      <c r="F9" s="13" t="inlineStr">
        <is>
          <t>Z2 La Macarena</t>
        </is>
      </c>
      <c r="G9" s="13" t="inlineStr">
        <is>
          <t>Independiente (1 local)</t>
        </is>
      </c>
      <c r="H9" s="14" t="n"/>
      <c r="I9" s="13" t="n"/>
      <c r="J9" s="13" t="n"/>
      <c r="K9" s="13" t="inlineStr">
        <is>
          <t>A</t>
        </is>
      </c>
      <c r="L9" s="13" t="n"/>
      <c r="M9" s="13" t="n"/>
      <c r="N9" s="13" t="n"/>
      <c r="O9" s="13" t="n"/>
      <c r="P9" s="13" t="n"/>
      <c r="Q9" s="13" t="n"/>
      <c r="R9" s="13" t="n"/>
      <c r="S9" s="13" t="n"/>
      <c r="T9" s="13" t="n"/>
      <c r="U9" s="13" t="n"/>
      <c r="V9" s="13" t="n"/>
      <c r="W9" s="13" t="n"/>
      <c r="X9" s="13" t="n"/>
      <c r="Y9" s="13" t="n"/>
      <c r="Z9" s="13" t="n"/>
      <c r="AA9" s="21">
        <f>IF(COUNT(M9:R9)=6,SUM(M9:R9),"")</f>
        <v/>
      </c>
      <c r="AB9" s="21">
        <f>IF(COUNT(S9:Z9)=8,SUM(S9:Z9),"")</f>
        <v/>
      </c>
      <c r="AC9" s="21">
        <f>IF(AA9="","",AA9/6*10)</f>
        <v/>
      </c>
      <c r="AD9" s="21">
        <f>IF(AB9="","",AB9/8*10)</f>
        <v/>
      </c>
      <c r="AE9" s="22">
        <f>IF(A9="","",IF(COUNT(M9:Z9)=14,"Completa","Incompleta: "&amp;COUNT(M9:Z9)&amp;" de 14"))</f>
        <v/>
      </c>
      <c r="AF9" s="13" t="n"/>
      <c r="AG9" s="13" t="n"/>
      <c r="AH9" s="13" t="n"/>
      <c r="AI9" s="13" t="n"/>
      <c r="AJ9" s="13" t="n"/>
    </row>
    <row r="10">
      <c r="A10" s="13" t="inlineStr">
        <is>
          <t>C08</t>
        </is>
      </c>
      <c r="B10" s="13" t="inlineStr">
        <is>
          <t>M-08</t>
        </is>
      </c>
      <c r="C10" s="13" t="inlineStr">
        <is>
          <t>4.616315, -74.071428</t>
        </is>
      </c>
      <c r="D10" s="13" t="inlineStr">
        <is>
          <t>Oishii Bubble Tea At 7 Days</t>
        </is>
      </c>
      <c r="E10" s="13" t="inlineStr">
        <is>
          <t>Santa Fe</t>
        </is>
      </c>
      <c r="F10" s="13" t="inlineStr">
        <is>
          <t>Z2 La Macarena</t>
        </is>
      </c>
      <c r="G10" s="13" t="inlineStr">
        <is>
          <t>Independiente (1 local)</t>
        </is>
      </c>
      <c r="H10" s="14" t="n"/>
      <c r="I10" s="13" t="n"/>
      <c r="J10" s="13" t="n"/>
      <c r="K10" s="13" t="inlineStr">
        <is>
          <t>B</t>
        </is>
      </c>
      <c r="L10" s="13" t="n"/>
      <c r="M10" s="13" t="n"/>
      <c r="N10" s="13" t="n"/>
      <c r="O10" s="13" t="n"/>
      <c r="P10" s="13" t="n"/>
      <c r="Q10" s="13" t="n"/>
      <c r="R10" s="13" t="n"/>
      <c r="S10" s="13" t="n"/>
      <c r="T10" s="13" t="n"/>
      <c r="U10" s="13" t="n"/>
      <c r="V10" s="13" t="n"/>
      <c r="W10" s="13" t="n"/>
      <c r="X10" s="13" t="n"/>
      <c r="Y10" s="13" t="n"/>
      <c r="Z10" s="13" t="n"/>
      <c r="AA10" s="21">
        <f>IF(COUNT(M10:R10)=6,SUM(M10:R10),"")</f>
        <v/>
      </c>
      <c r="AB10" s="21">
        <f>IF(COUNT(S10:Z10)=8,SUM(S10:Z10),"")</f>
        <v/>
      </c>
      <c r="AC10" s="21">
        <f>IF(AA10="","",AA10/6*10)</f>
        <v/>
      </c>
      <c r="AD10" s="21">
        <f>IF(AB10="","",AB10/8*10)</f>
        <v/>
      </c>
      <c r="AE10" s="22">
        <f>IF(A10="","",IF(COUNT(M10:Z10)=14,"Completa","Incompleta: "&amp;COUNT(M10:Z10)&amp;" de 14"))</f>
        <v/>
      </c>
      <c r="AF10" s="13" t="n"/>
      <c r="AG10" s="13" t="n"/>
      <c r="AH10" s="13" t="n"/>
      <c r="AI10" s="13" t="n"/>
      <c r="AJ10" s="13" t="n"/>
    </row>
    <row r="11">
      <c r="A11" s="13" t="inlineStr">
        <is>
          <t>C09</t>
        </is>
      </c>
      <c r="B11" s="13" t="inlineStr">
        <is>
          <t>M-09</t>
        </is>
      </c>
      <c r="C11" s="13" t="inlineStr">
        <is>
          <t>4.597011, -74.076033</t>
        </is>
      </c>
      <c r="D11" s="13" t="inlineStr">
        <is>
          <t>Arte y Pasión Café</t>
        </is>
      </c>
      <c r="E11" s="13" t="inlineStr">
        <is>
          <t>La Candelaria</t>
        </is>
      </c>
      <c r="F11" s="13" t="inlineStr">
        <is>
          <t>Z3 Centro</t>
        </is>
      </c>
      <c r="G11" s="13" t="inlineStr">
        <is>
          <t>Pequeña cadena (2–5 locales)</t>
        </is>
      </c>
      <c r="H11" s="14" t="n"/>
      <c r="I11" s="13" t="n"/>
      <c r="J11" s="13" t="n"/>
      <c r="K11" s="13" t="inlineStr">
        <is>
          <t>C</t>
        </is>
      </c>
      <c r="L11" s="13" t="n"/>
      <c r="M11" s="13" t="n"/>
      <c r="N11" s="13" t="n"/>
      <c r="O11" s="13" t="n"/>
      <c r="P11" s="13" t="n"/>
      <c r="Q11" s="13" t="n"/>
      <c r="R11" s="13" t="n"/>
      <c r="S11" s="13" t="n"/>
      <c r="T11" s="13" t="n"/>
      <c r="U11" s="13" t="n"/>
      <c r="V11" s="13" t="n"/>
      <c r="W11" s="13" t="n"/>
      <c r="X11" s="13" t="n"/>
      <c r="Y11" s="13" t="n"/>
      <c r="Z11" s="13" t="n"/>
      <c r="AA11" s="21">
        <f>IF(COUNT(M11:R11)=6,SUM(M11:R11),"")</f>
        <v/>
      </c>
      <c r="AB11" s="21">
        <f>IF(COUNT(S11:Z11)=8,SUM(S11:Z11),"")</f>
        <v/>
      </c>
      <c r="AC11" s="21">
        <f>IF(AA11="","",AA11/6*10)</f>
        <v/>
      </c>
      <c r="AD11" s="21">
        <f>IF(AB11="","",AB11/8*10)</f>
        <v/>
      </c>
      <c r="AE11" s="22">
        <f>IF(A11="","",IF(COUNT(M11:Z11)=14,"Completa","Incompleta: "&amp;COUNT(M11:Z11)&amp;" de 14"))</f>
        <v/>
      </c>
      <c r="AF11" s="13" t="n"/>
      <c r="AG11" s="13" t="n"/>
      <c r="AH11" s="13" t="n"/>
      <c r="AI11" s="13" t="n"/>
      <c r="AJ11" s="13" t="n"/>
    </row>
    <row r="12">
      <c r="A12" s="13" t="inlineStr">
        <is>
          <t>C10</t>
        </is>
      </c>
      <c r="B12" s="13" t="inlineStr">
        <is>
          <t>M-10</t>
        </is>
      </c>
      <c r="C12" s="13" t="inlineStr">
        <is>
          <t>4.600645, -74.073289</t>
        </is>
      </c>
      <c r="D12" s="13" t="inlineStr">
        <is>
          <t>Nossa Café Pastel</t>
        </is>
      </c>
      <c r="E12" s="13" t="inlineStr">
        <is>
          <t>La Candelaria</t>
        </is>
      </c>
      <c r="F12" s="13" t="inlineStr">
        <is>
          <t>Z3 Centro</t>
        </is>
      </c>
      <c r="G12" s="13" t="inlineStr">
        <is>
          <t>Independiente (1 local)</t>
        </is>
      </c>
      <c r="H12" s="14" t="n"/>
      <c r="I12" s="13" t="n"/>
      <c r="J12" s="13" t="n"/>
      <c r="K12" s="13" t="inlineStr">
        <is>
          <t>A</t>
        </is>
      </c>
      <c r="L12" s="13" t="n"/>
      <c r="M12" s="13" t="n"/>
      <c r="N12" s="13" t="n"/>
      <c r="O12" s="13" t="n"/>
      <c r="P12" s="13" t="n"/>
      <c r="Q12" s="13" t="n"/>
      <c r="R12" s="13" t="n"/>
      <c r="S12" s="13" t="n"/>
      <c r="T12" s="13" t="n"/>
      <c r="U12" s="13" t="n"/>
      <c r="V12" s="13" t="n"/>
      <c r="W12" s="13" t="n"/>
      <c r="X12" s="13" t="n"/>
      <c r="Y12" s="13" t="n"/>
      <c r="Z12" s="13" t="n"/>
      <c r="AA12" s="21">
        <f>IF(COUNT(M12:R12)=6,SUM(M12:R12),"")</f>
        <v/>
      </c>
      <c r="AB12" s="21">
        <f>IF(COUNT(S12:Z12)=8,SUM(S12:Z12),"")</f>
        <v/>
      </c>
      <c r="AC12" s="21">
        <f>IF(AA12="","",AA12/6*10)</f>
        <v/>
      </c>
      <c r="AD12" s="21">
        <f>IF(AB12="","",AB12/8*10)</f>
        <v/>
      </c>
      <c r="AE12" s="22">
        <f>IF(A12="","",IF(COUNT(M12:Z12)=14,"Completa","Incompleta: "&amp;COUNT(M12:Z12)&amp;" de 14"))</f>
        <v/>
      </c>
      <c r="AF12" s="13" t="n"/>
      <c r="AG12" s="13" t="n"/>
      <c r="AH12" s="13" t="n"/>
      <c r="AI12" s="13" t="n"/>
      <c r="AJ12" s="13" t="n"/>
    </row>
    <row r="13">
      <c r="A13" s="13" t="inlineStr">
        <is>
          <t>R1</t>
        </is>
      </c>
      <c r="B13" s="13" t="inlineStr">
        <is>
          <t>R-01</t>
        </is>
      </c>
      <c r="C13" s="13" t="inlineStr">
        <is>
          <t>4.625624, -74.070087</t>
        </is>
      </c>
      <c r="D13" s="13" t="inlineStr">
        <is>
          <t>Filtrando Café</t>
        </is>
      </c>
      <c r="E13" s="13" t="inlineStr">
        <is>
          <t>Teusaquillo</t>
        </is>
      </c>
      <c r="F13" s="13" t="inlineStr">
        <is>
          <t>Z1 Parkway–Teusaquillo</t>
        </is>
      </c>
      <c r="G13" s="13" t="inlineStr">
        <is>
          <t>Independiente (1 local)</t>
        </is>
      </c>
      <c r="H13" s="14" t="n"/>
      <c r="I13" s="13" t="n"/>
      <c r="J13" s="13" t="n"/>
      <c r="K13" s="13" t="inlineStr">
        <is>
          <t>A</t>
        </is>
      </c>
      <c r="L13" s="13" t="n"/>
      <c r="M13" s="13" t="n"/>
      <c r="N13" s="13" t="n"/>
      <c r="O13" s="13" t="n"/>
      <c r="P13" s="13" t="n"/>
      <c r="Q13" s="13" t="n"/>
      <c r="R13" s="13" t="n"/>
      <c r="S13" s="13" t="n"/>
      <c r="T13" s="13" t="n"/>
      <c r="U13" s="13" t="n"/>
      <c r="V13" s="13" t="n"/>
      <c r="W13" s="13" t="n"/>
      <c r="X13" s="13" t="n"/>
      <c r="Y13" s="13" t="n"/>
      <c r="Z13" s="13" t="n"/>
      <c r="AA13" s="21">
        <f>IF(COUNT(M13:R13)=6,SUM(M13:R13),"")</f>
        <v/>
      </c>
      <c r="AB13" s="21">
        <f>IF(COUNT(S13:Z13)=8,SUM(S13:Z13),"")</f>
        <v/>
      </c>
      <c r="AC13" s="21">
        <f>IF(AA13="","",AA13/6*10)</f>
        <v/>
      </c>
      <c r="AD13" s="21">
        <f>IF(AB13="","",AB13/8*10)</f>
        <v/>
      </c>
      <c r="AE13" s="22">
        <f>IF(A13="","",IF(COUNT(M13:Z13)=14,"Completa","Incompleta: "&amp;COUNT(M13:Z13)&amp;" de 14"))</f>
        <v/>
      </c>
      <c r="AF13" s="13" t="n"/>
      <c r="AG13" s="13" t="n"/>
      <c r="AH13" s="13" t="n"/>
      <c r="AI13" s="13" t="n"/>
      <c r="AJ13" s="13" t="n"/>
    </row>
    <row r="14">
      <c r="A14" s="13" t="inlineStr">
        <is>
          <t>R2</t>
        </is>
      </c>
      <c r="B14" s="13" t="inlineStr">
        <is>
          <t>R-02</t>
        </is>
      </c>
      <c r="C14" s="13" t="inlineStr">
        <is>
          <t>4.615197, -74.071853</t>
        </is>
      </c>
      <c r="D14" s="13" t="inlineStr">
        <is>
          <t>Terracota Café y Más</t>
        </is>
      </c>
      <c r="E14" s="13" t="inlineStr">
        <is>
          <t>Santa Fe</t>
        </is>
      </c>
      <c r="F14" s="13" t="inlineStr">
        <is>
          <t>Z2 La Macarena</t>
        </is>
      </c>
      <c r="G14" s="13" t="inlineStr">
        <is>
          <t>Pequeña cadena (2–5 locales)</t>
        </is>
      </c>
      <c r="H14" s="14" t="n"/>
      <c r="I14" s="13" t="n"/>
      <c r="J14" s="13" t="n"/>
      <c r="K14" s="13" t="inlineStr">
        <is>
          <t>B</t>
        </is>
      </c>
      <c r="L14" s="13" t="n"/>
      <c r="M14" s="13" t="n"/>
      <c r="N14" s="13" t="n"/>
      <c r="O14" s="13" t="n"/>
      <c r="P14" s="13" t="n"/>
      <c r="Q14" s="13" t="n"/>
      <c r="R14" s="13" t="n"/>
      <c r="S14" s="13" t="n"/>
      <c r="T14" s="13" t="n"/>
      <c r="U14" s="13" t="n"/>
      <c r="V14" s="13" t="n"/>
      <c r="W14" s="13" t="n"/>
      <c r="X14" s="13" t="n"/>
      <c r="Y14" s="13" t="n"/>
      <c r="Z14" s="13" t="n"/>
      <c r="AA14" s="21">
        <f>IF(COUNT(M14:R14)=6,SUM(M14:R14),"")</f>
        <v/>
      </c>
      <c r="AB14" s="21">
        <f>IF(COUNT(S14:Z14)=8,SUM(S14:Z14),"")</f>
        <v/>
      </c>
      <c r="AC14" s="21">
        <f>IF(AA14="","",AA14/6*10)</f>
        <v/>
      </c>
      <c r="AD14" s="21">
        <f>IF(AB14="","",AB14/8*10)</f>
        <v/>
      </c>
      <c r="AE14" s="22">
        <f>IF(A14="","",IF(COUNT(M14:Z14)=14,"Completa","Incompleta: "&amp;COUNT(M14:Z14)&amp;" de 14"))</f>
        <v/>
      </c>
      <c r="AF14" s="13" t="n"/>
      <c r="AG14" s="13" t="n"/>
      <c r="AH14" s="13" t="n"/>
      <c r="AI14" s="13" t="n"/>
      <c r="AJ14" s="13" t="n"/>
    </row>
    <row r="15">
      <c r="A15" s="13" t="inlineStr">
        <is>
          <t>R3</t>
        </is>
      </c>
      <c r="B15" s="13" t="inlineStr">
        <is>
          <t>R-03</t>
        </is>
      </c>
      <c r="C15" s="26" t="inlineStr">
        <is>
          <t>4.598687, -74.069792</t>
        </is>
      </c>
      <c r="D15" s="13" t="inlineStr">
        <is>
          <t>Café Nos</t>
        </is>
      </c>
      <c r="E15" s="13" t="inlineStr">
        <is>
          <t>Santa Fe</t>
        </is>
      </c>
      <c r="F15" s="13" t="inlineStr">
        <is>
          <t>Z3 Centro</t>
        </is>
      </c>
      <c r="G15" s="13" t="inlineStr">
        <is>
          <t>Independiente (1 local)</t>
        </is>
      </c>
      <c r="H15" s="14" t="n"/>
      <c r="I15" s="13" t="n"/>
      <c r="J15" s="13" t="n"/>
      <c r="K15" s="13" t="inlineStr">
        <is>
          <t>C</t>
        </is>
      </c>
      <c r="L15" s="13" t="n"/>
      <c r="M15" s="13" t="n"/>
      <c r="N15" s="13" t="n"/>
      <c r="O15" s="13" t="n"/>
      <c r="P15" s="13" t="n"/>
      <c r="Q15" s="13" t="n"/>
      <c r="R15" s="13" t="n"/>
      <c r="S15" s="13" t="n"/>
      <c r="T15" s="13" t="n"/>
      <c r="U15" s="13" t="n"/>
      <c r="V15" s="13" t="n"/>
      <c r="W15" s="13" t="n"/>
      <c r="X15" s="13" t="n"/>
      <c r="Y15" s="13" t="n"/>
      <c r="Z15" s="13" t="n"/>
      <c r="AA15" s="21">
        <f>IF(COUNT(M15:R15)=6,SUM(M15:R15),"")</f>
        <v/>
      </c>
      <c r="AB15" s="21">
        <f>IF(COUNT(S15:Z15)=8,SUM(S15:Z15),"")</f>
        <v/>
      </c>
      <c r="AC15" s="21">
        <f>IF(AA15="","",AA15/6*10)</f>
        <v/>
      </c>
      <c r="AD15" s="21">
        <f>IF(AB15="","",AB15/8*10)</f>
        <v/>
      </c>
      <c r="AE15" s="22">
        <f>IF(A15="","",IF(COUNT(M15:Z15)=14,"Completa","Incompleta: "&amp;COUNT(M15:Z15)&amp;" de 14"))</f>
        <v/>
      </c>
      <c r="AF15" s="13" t="n"/>
      <c r="AG15" s="13" t="n"/>
      <c r="AH15" s="13" t="n"/>
      <c r="AI15" s="13" t="n"/>
      <c r="AJ15" s="13" t="n"/>
    </row>
    <row r="16">
      <c r="A16" s="13" t="n"/>
      <c r="B16" s="13" t="n"/>
      <c r="C16" s="13" t="n"/>
      <c r="D16" s="13" t="n"/>
      <c r="E16" s="13" t="n"/>
      <c r="F16" s="13" t="n"/>
      <c r="G16" s="13" t="n"/>
      <c r="H16" s="14" t="n"/>
      <c r="I16" s="13" t="n"/>
      <c r="J16" s="13" t="n"/>
      <c r="K16" s="13" t="n"/>
      <c r="L16" s="13" t="n"/>
      <c r="M16" s="13" t="n"/>
      <c r="N16" s="13" t="n"/>
      <c r="O16" s="13" t="n"/>
      <c r="P16" s="13" t="n"/>
      <c r="Q16" s="13" t="n"/>
      <c r="R16" s="13" t="n"/>
      <c r="S16" s="13" t="n"/>
      <c r="T16" s="13" t="n"/>
      <c r="U16" s="13" t="n"/>
      <c r="V16" s="13" t="n"/>
      <c r="W16" s="13" t="n"/>
      <c r="X16" s="13" t="n"/>
      <c r="Y16" s="13" t="n"/>
      <c r="Z16" s="13" t="n"/>
      <c r="AA16" s="21">
        <f>IF(COUNT(M16:R16)=6,SUM(M16:R16),"")</f>
        <v/>
      </c>
      <c r="AB16" s="21">
        <f>IF(COUNT(S16:Z16)=8,SUM(S16:Z16),"")</f>
        <v/>
      </c>
      <c r="AC16" s="21">
        <f>IF(AA16="","",AA16/6*10)</f>
        <v/>
      </c>
      <c r="AD16" s="21">
        <f>IF(AB16="","",AB16/8*10)</f>
        <v/>
      </c>
      <c r="AE16" s="22">
        <f>IF(A16="","",IF(COUNT(M16:Z16)=14,"Completa","Incompleta: "&amp;COUNT(M16:Z16)&amp;" de 14"))</f>
        <v/>
      </c>
      <c r="AF16" s="13" t="n"/>
      <c r="AG16" s="13" t="n"/>
      <c r="AH16" s="13" t="n"/>
      <c r="AI16" s="13" t="n"/>
      <c r="AJ16" s="13" t="n"/>
    </row>
    <row r="17">
      <c r="A17" s="13" t="n"/>
      <c r="B17" s="13" t="n"/>
      <c r="C17" s="13" t="n"/>
      <c r="D17" s="13" t="n"/>
      <c r="E17" s="13" t="n"/>
      <c r="F17" s="13" t="n"/>
      <c r="G17" s="13" t="n"/>
      <c r="H17" s="14" t="n"/>
      <c r="I17" s="13" t="n"/>
      <c r="J17" s="13" t="n"/>
      <c r="K17" s="13" t="n"/>
      <c r="L17" s="13" t="n"/>
      <c r="M17" s="13" t="n"/>
      <c r="N17" s="13" t="n"/>
      <c r="O17" s="13" t="n"/>
      <c r="P17" s="13" t="n"/>
      <c r="Q17" s="13" t="n"/>
      <c r="R17" s="13" t="n"/>
      <c r="S17" s="13" t="n"/>
      <c r="T17" s="13" t="n"/>
      <c r="U17" s="13" t="n"/>
      <c r="V17" s="13" t="n"/>
      <c r="W17" s="13" t="n"/>
      <c r="X17" s="13" t="n"/>
      <c r="Y17" s="13" t="n"/>
      <c r="Z17" s="13" t="n"/>
      <c r="AA17" s="21">
        <f>IF(COUNT(M17:R17)=6,SUM(M17:R17),"")</f>
        <v/>
      </c>
      <c r="AB17" s="21">
        <f>IF(COUNT(S17:Z17)=8,SUM(S17:Z17),"")</f>
        <v/>
      </c>
      <c r="AC17" s="21">
        <f>IF(AA17="","",AA17/6*10)</f>
        <v/>
      </c>
      <c r="AD17" s="21">
        <f>IF(AB17="","",AB17/8*10)</f>
        <v/>
      </c>
      <c r="AE17" s="22">
        <f>IF(A17="","",IF(COUNT(M17:Z17)=14,"Completa","Incompleta: "&amp;COUNT(M17:Z17)&amp;" de 14"))</f>
        <v/>
      </c>
      <c r="AF17" s="13" t="n"/>
      <c r="AG17" s="13" t="n"/>
      <c r="AH17" s="13" t="n"/>
      <c r="AI17" s="13" t="n"/>
      <c r="AJ17" s="13" t="n"/>
    </row>
    <row r="18">
      <c r="A18" s="13" t="n"/>
      <c r="B18" s="13" t="n"/>
      <c r="C18" s="13" t="n"/>
      <c r="D18" s="13" t="n"/>
      <c r="E18" s="13" t="n"/>
      <c r="F18" s="13" t="n"/>
      <c r="G18" s="13" t="n"/>
      <c r="H18" s="14" t="n"/>
      <c r="I18" s="13" t="n"/>
      <c r="J18" s="13" t="n"/>
      <c r="K18" s="13" t="n"/>
      <c r="L18" s="13" t="n"/>
      <c r="M18" s="13" t="n"/>
      <c r="N18" s="13" t="n"/>
      <c r="O18" s="13" t="n"/>
      <c r="P18" s="13" t="n"/>
      <c r="Q18" s="13" t="n"/>
      <c r="R18" s="13" t="n"/>
      <c r="S18" s="13" t="n"/>
      <c r="T18" s="13" t="n"/>
      <c r="U18" s="13" t="n"/>
      <c r="V18" s="13" t="n"/>
      <c r="W18" s="13" t="n"/>
      <c r="X18" s="13" t="n"/>
      <c r="Y18" s="13" t="n"/>
      <c r="Z18" s="13" t="n"/>
      <c r="AA18" s="21">
        <f>IF(COUNT(M18:R18)=6,SUM(M18:R18),"")</f>
        <v/>
      </c>
      <c r="AB18" s="21">
        <f>IF(COUNT(S18:Z18)=8,SUM(S18:Z18),"")</f>
        <v/>
      </c>
      <c r="AC18" s="21">
        <f>IF(AA18="","",AA18/6*10)</f>
        <v/>
      </c>
      <c r="AD18" s="21">
        <f>IF(AB18="","",AB18/8*10)</f>
        <v/>
      </c>
      <c r="AE18" s="22">
        <f>IF(A18="","",IF(COUNT(M18:Z18)=14,"Completa","Incompleta: "&amp;COUNT(M18:Z18)&amp;" de 14"))</f>
        <v/>
      </c>
      <c r="AF18" s="13" t="n"/>
      <c r="AG18" s="13" t="n"/>
      <c r="AH18" s="13" t="n"/>
      <c r="AI18" s="13" t="n"/>
      <c r="AJ18" s="13" t="n"/>
    </row>
    <row r="19">
      <c r="A19" s="13" t="n"/>
      <c r="B19" s="13" t="n"/>
      <c r="C19" s="13" t="n"/>
      <c r="D19" s="13" t="n"/>
      <c r="E19" s="13" t="n"/>
      <c r="F19" s="13" t="n"/>
      <c r="G19" s="13" t="n"/>
      <c r="H19" s="14" t="n"/>
      <c r="I19" s="13" t="n"/>
      <c r="J19" s="13" t="n"/>
      <c r="K19" s="13" t="n"/>
      <c r="L19" s="13" t="n"/>
      <c r="M19" s="13" t="n"/>
      <c r="N19" s="13" t="n"/>
      <c r="O19" s="13" t="n"/>
      <c r="P19" s="13" t="n"/>
      <c r="Q19" s="13" t="n"/>
      <c r="R19" s="13" t="n"/>
      <c r="S19" s="13" t="n"/>
      <c r="T19" s="13" t="n"/>
      <c r="U19" s="13" t="n"/>
      <c r="V19" s="13" t="n"/>
      <c r="W19" s="13" t="n"/>
      <c r="X19" s="13" t="n"/>
      <c r="Y19" s="13" t="n"/>
      <c r="Z19" s="13" t="n"/>
      <c r="AA19" s="21">
        <f>IF(COUNT(M19:R19)=6,SUM(M19:R19),"")</f>
        <v/>
      </c>
      <c r="AB19" s="21">
        <f>IF(COUNT(S19:Z19)=8,SUM(S19:Z19),"")</f>
        <v/>
      </c>
      <c r="AC19" s="21">
        <f>IF(AA19="","",AA19/6*10)</f>
        <v/>
      </c>
      <c r="AD19" s="21">
        <f>IF(AB19="","",AB19/8*10)</f>
        <v/>
      </c>
      <c r="AE19" s="22">
        <f>IF(A19="","",IF(COUNT(M19:Z19)=14,"Completa","Incompleta: "&amp;COUNT(M19:Z19)&amp;" de 14"))</f>
        <v/>
      </c>
      <c r="AF19" s="13" t="n"/>
      <c r="AG19" s="13" t="n"/>
      <c r="AH19" s="13" t="n"/>
      <c r="AI19" s="13" t="n"/>
      <c r="AJ19" s="13" t="n"/>
    </row>
    <row r="20">
      <c r="A20" s="13" t="n"/>
      <c r="B20" s="13" t="n"/>
      <c r="C20" s="13" t="n"/>
      <c r="D20" s="13" t="n"/>
      <c r="E20" s="13" t="n"/>
      <c r="F20" s="13" t="n"/>
      <c r="G20" s="13" t="n"/>
      <c r="H20" s="14" t="n"/>
      <c r="I20" s="13" t="n"/>
      <c r="J20" s="13" t="n"/>
      <c r="K20" s="13" t="n"/>
      <c r="L20" s="13" t="n"/>
      <c r="M20" s="13" t="n"/>
      <c r="N20" s="13" t="n"/>
      <c r="O20" s="13" t="n"/>
      <c r="P20" s="13" t="n"/>
      <c r="Q20" s="13" t="n"/>
      <c r="R20" s="13" t="n"/>
      <c r="S20" s="13" t="n"/>
      <c r="T20" s="13" t="n"/>
      <c r="U20" s="13" t="n"/>
      <c r="V20" s="13" t="n"/>
      <c r="W20" s="13" t="n"/>
      <c r="X20" s="13" t="n"/>
      <c r="Y20" s="13" t="n"/>
      <c r="Z20" s="13" t="n"/>
      <c r="AA20" s="21">
        <f>IF(COUNT(M20:R20)=6,SUM(M20:R20),"")</f>
        <v/>
      </c>
      <c r="AB20" s="21">
        <f>IF(COUNT(S20:Z20)=8,SUM(S20:Z20),"")</f>
        <v/>
      </c>
      <c r="AC20" s="21">
        <f>IF(AA20="","",AA20/6*10)</f>
        <v/>
      </c>
      <c r="AD20" s="21">
        <f>IF(AB20="","",AB20/8*10)</f>
        <v/>
      </c>
      <c r="AE20" s="22">
        <f>IF(A20="","",IF(COUNT(M20:Z20)=14,"Completa","Incompleta: "&amp;COUNT(M20:Z20)&amp;" de 14"))</f>
        <v/>
      </c>
      <c r="AF20" s="13" t="n"/>
      <c r="AG20" s="13" t="n"/>
      <c r="AH20" s="13" t="n"/>
      <c r="AI20" s="13" t="n"/>
      <c r="AJ20" s="13" t="n"/>
    </row>
    <row r="21">
      <c r="A21" s="13" t="n"/>
      <c r="B21" s="13" t="n"/>
      <c r="C21" s="13" t="n"/>
      <c r="D21" s="13" t="n"/>
      <c r="E21" s="13" t="n"/>
      <c r="F21" s="13" t="n"/>
      <c r="G21" s="13" t="n"/>
      <c r="H21" s="14" t="n"/>
      <c r="I21" s="13" t="n"/>
      <c r="J21" s="13" t="n"/>
      <c r="K21" s="13" t="n"/>
      <c r="L21" s="13" t="n"/>
      <c r="M21" s="13" t="n"/>
      <c r="N21" s="13" t="n"/>
      <c r="O21" s="13" t="n"/>
      <c r="P21" s="13" t="n"/>
      <c r="Q21" s="13" t="n"/>
      <c r="R21" s="13" t="n"/>
      <c r="S21" s="13" t="n"/>
      <c r="T21" s="13" t="n"/>
      <c r="U21" s="13" t="n"/>
      <c r="V21" s="13" t="n"/>
      <c r="W21" s="13" t="n"/>
      <c r="X21" s="13" t="n"/>
      <c r="Y21" s="13" t="n"/>
      <c r="Z21" s="13" t="n"/>
      <c r="AA21" s="21">
        <f>IF(COUNT(M21:R21)=6,SUM(M21:R21),"")</f>
        <v/>
      </c>
      <c r="AB21" s="21">
        <f>IF(COUNT(S21:Z21)=8,SUM(S21:Z21),"")</f>
        <v/>
      </c>
      <c r="AC21" s="21">
        <f>IF(AA21="","",AA21/6*10)</f>
        <v/>
      </c>
      <c r="AD21" s="21">
        <f>IF(AB21="","",AB21/8*10)</f>
        <v/>
      </c>
      <c r="AE21" s="22">
        <f>IF(A21="","",IF(COUNT(M21:Z21)=14,"Completa","Incompleta: "&amp;COUNT(M21:Z21)&amp;" de 14"))</f>
        <v/>
      </c>
      <c r="AF21" s="13" t="n"/>
      <c r="AG21" s="13" t="n"/>
      <c r="AH21" s="13" t="n"/>
      <c r="AI21" s="13" t="n"/>
      <c r="AJ21" s="13" t="n"/>
    </row>
    <row r="22" ht="15.75" customHeight="1" s="45">
      <c r="A22" s="13" t="n"/>
      <c r="B22" s="13" t="n"/>
      <c r="C22" s="13" t="n"/>
      <c r="D22" s="13" t="n"/>
      <c r="E22" s="13" t="n"/>
      <c r="F22" s="13" t="n"/>
      <c r="G22" s="13" t="n"/>
      <c r="H22" s="14" t="n"/>
      <c r="I22" s="13" t="n"/>
      <c r="J22" s="13" t="n"/>
      <c r="K22" s="13" t="n"/>
      <c r="L22" s="13" t="n"/>
      <c r="M22" s="13" t="n"/>
      <c r="N22" s="13" t="n"/>
      <c r="O22" s="13" t="n"/>
      <c r="P22" s="13" t="n"/>
      <c r="Q22" s="13" t="n"/>
      <c r="R22" s="13" t="n"/>
      <c r="S22" s="13" t="n"/>
      <c r="T22" s="13" t="n"/>
      <c r="U22" s="13" t="n"/>
      <c r="V22" s="13" t="n"/>
      <c r="W22" s="13" t="n"/>
      <c r="X22" s="13" t="n"/>
      <c r="Y22" s="13" t="n"/>
      <c r="Z22" s="13" t="n"/>
      <c r="AA22" s="21">
        <f>IF(COUNT(M22:R22)=6,SUM(M22:R22),"")</f>
        <v/>
      </c>
      <c r="AB22" s="21">
        <f>IF(COUNT(S22:Z22)=8,SUM(S22:Z22),"")</f>
        <v/>
      </c>
      <c r="AC22" s="21">
        <f>IF(AA22="","",AA22/6*10)</f>
        <v/>
      </c>
      <c r="AD22" s="21">
        <f>IF(AB22="","",AB22/8*10)</f>
        <v/>
      </c>
      <c r="AE22" s="22">
        <f>IF(A22="","",IF(COUNT(M22:Z22)=14,"Completa","Incompleta: "&amp;COUNT(M22:Z22)&amp;" de 14"))</f>
        <v/>
      </c>
      <c r="AF22" s="13" t="n"/>
      <c r="AG22" s="13" t="n"/>
      <c r="AH22" s="13" t="n"/>
      <c r="AI22" s="13" t="n"/>
      <c r="AJ22" s="13" t="n"/>
    </row>
    <row r="23" ht="15.75" customHeight="1" s="45">
      <c r="A23" s="13" t="n"/>
      <c r="B23" s="13" t="n"/>
      <c r="C23" s="13" t="n"/>
      <c r="D23" s="13" t="n"/>
      <c r="E23" s="13" t="n"/>
      <c r="F23" s="13" t="n"/>
      <c r="G23" s="13" t="n"/>
      <c r="H23" s="14" t="n"/>
      <c r="I23" s="13" t="n"/>
      <c r="J23" s="13" t="n"/>
      <c r="K23" s="13" t="n"/>
      <c r="L23" s="13" t="n"/>
      <c r="M23" s="13" t="n"/>
      <c r="N23" s="13" t="n"/>
      <c r="O23" s="13" t="n"/>
      <c r="P23" s="13" t="n"/>
      <c r="Q23" s="13" t="n"/>
      <c r="R23" s="13" t="n"/>
      <c r="S23" s="13" t="n"/>
      <c r="T23" s="13" t="n"/>
      <c r="U23" s="13" t="n"/>
      <c r="V23" s="13" t="n"/>
      <c r="W23" s="13" t="n"/>
      <c r="X23" s="13" t="n"/>
      <c r="Y23" s="13" t="n"/>
      <c r="Z23" s="13" t="n"/>
      <c r="AA23" s="21">
        <f>IF(COUNT(M23:R23)=6,SUM(M23:R23),"")</f>
        <v/>
      </c>
      <c r="AB23" s="21">
        <f>IF(COUNT(S23:Z23)=8,SUM(S23:Z23),"")</f>
        <v/>
      </c>
      <c r="AC23" s="21">
        <f>IF(AA23="","",AA23/6*10)</f>
        <v/>
      </c>
      <c r="AD23" s="21">
        <f>IF(AB23="","",AB23/8*10)</f>
        <v/>
      </c>
      <c r="AE23" s="22">
        <f>IF(A23="","",IF(COUNT(M23:Z23)=14,"Completa","Incompleta: "&amp;COUNT(M23:Z23)&amp;" de 14"))</f>
        <v/>
      </c>
      <c r="AF23" s="13" t="n"/>
      <c r="AG23" s="13" t="n"/>
      <c r="AH23" s="13" t="n"/>
      <c r="AI23" s="13" t="n"/>
      <c r="AJ23" s="13" t="n"/>
    </row>
    <row r="24" ht="15.75" customHeight="1" s="45">
      <c r="A24" s="13" t="n"/>
      <c r="B24" s="13" t="n"/>
      <c r="C24" s="13" t="n"/>
      <c r="D24" s="13" t="n"/>
      <c r="E24" s="13" t="n"/>
      <c r="F24" s="13" t="n"/>
      <c r="G24" s="13" t="n"/>
      <c r="H24" s="14" t="n"/>
      <c r="I24" s="13" t="n"/>
      <c r="J24" s="13" t="n"/>
      <c r="K24" s="13" t="n"/>
      <c r="L24" s="13" t="n"/>
      <c r="M24" s="13" t="n"/>
      <c r="N24" s="13" t="n"/>
      <c r="O24" s="13" t="n"/>
      <c r="P24" s="13" t="n"/>
      <c r="Q24" s="13" t="n"/>
      <c r="R24" s="13" t="n"/>
      <c r="S24" s="13" t="n"/>
      <c r="T24" s="13" t="n"/>
      <c r="U24" s="13" t="n"/>
      <c r="V24" s="13" t="n"/>
      <c r="W24" s="13" t="n"/>
      <c r="X24" s="13" t="n"/>
      <c r="Y24" s="13" t="n"/>
      <c r="Z24" s="13" t="n"/>
      <c r="AA24" s="21">
        <f>IF(COUNT(M24:R24)=6,SUM(M24:R24),"")</f>
        <v/>
      </c>
      <c r="AB24" s="21">
        <f>IF(COUNT(S24:Z24)=8,SUM(S24:Z24),"")</f>
        <v/>
      </c>
      <c r="AC24" s="21">
        <f>IF(AA24="","",AA24/6*10)</f>
        <v/>
      </c>
      <c r="AD24" s="21">
        <f>IF(AB24="","",AB24/8*10)</f>
        <v/>
      </c>
      <c r="AE24" s="22">
        <f>IF(A24="","",IF(COUNT(M24:Z24)=14,"Completa","Incompleta: "&amp;COUNT(M24:Z24)&amp;" de 14"))</f>
        <v/>
      </c>
      <c r="AF24" s="13" t="n"/>
      <c r="AG24" s="13" t="n"/>
      <c r="AH24" s="13" t="n"/>
      <c r="AI24" s="13" t="n"/>
      <c r="AJ24" s="13" t="n"/>
    </row>
    <row r="25" ht="15.75" customHeight="1" s="45">
      <c r="A25" s="13" t="n"/>
      <c r="B25" s="13" t="n"/>
      <c r="C25" s="13" t="n"/>
      <c r="D25" s="13" t="n"/>
      <c r="E25" s="13" t="n"/>
      <c r="F25" s="13" t="n"/>
      <c r="G25" s="13" t="n"/>
      <c r="H25" s="14" t="n"/>
      <c r="I25" s="13" t="n"/>
      <c r="J25" s="13" t="n"/>
      <c r="K25" s="13" t="n"/>
      <c r="L25" s="13" t="n"/>
      <c r="M25" s="13" t="n"/>
      <c r="N25" s="13" t="n"/>
      <c r="O25" s="13" t="n"/>
      <c r="P25" s="13" t="n"/>
      <c r="Q25" s="13" t="n"/>
      <c r="R25" s="13" t="n"/>
      <c r="S25" s="13" t="n"/>
      <c r="T25" s="13" t="n"/>
      <c r="U25" s="13" t="n"/>
      <c r="V25" s="13" t="n"/>
      <c r="W25" s="13" t="n"/>
      <c r="X25" s="13" t="n"/>
      <c r="Y25" s="13" t="n"/>
      <c r="Z25" s="13" t="n"/>
      <c r="AA25" s="21">
        <f>IF(COUNT(M25:R25)=6,SUM(M25:R25),"")</f>
        <v/>
      </c>
      <c r="AB25" s="21">
        <f>IF(COUNT(S25:Z25)=8,SUM(S25:Z25),"")</f>
        <v/>
      </c>
      <c r="AC25" s="21">
        <f>IF(AA25="","",AA25/6*10)</f>
        <v/>
      </c>
      <c r="AD25" s="21">
        <f>IF(AB25="","",AB25/8*10)</f>
        <v/>
      </c>
      <c r="AE25" s="22">
        <f>IF(A25="","",IF(COUNT(M25:Z25)=14,"Completa","Incompleta: "&amp;COUNT(M25:Z25)&amp;" de 14"))</f>
        <v/>
      </c>
      <c r="AF25" s="13" t="n"/>
      <c r="AG25" s="13" t="n"/>
      <c r="AH25" s="13" t="n"/>
      <c r="AI25" s="13" t="n"/>
      <c r="AJ25" s="13" t="n"/>
    </row>
    <row r="26" ht="15.75" customHeight="1" s="45">
      <c r="A26" s="13" t="n"/>
      <c r="B26" s="13" t="n"/>
      <c r="C26" s="13" t="n"/>
      <c r="D26" s="13" t="n"/>
      <c r="E26" s="13" t="n"/>
      <c r="F26" s="13" t="n"/>
      <c r="G26" s="13" t="n"/>
      <c r="H26" s="14" t="n"/>
      <c r="I26" s="13" t="n"/>
      <c r="J26" s="13" t="n"/>
      <c r="K26" s="13" t="n"/>
      <c r="L26" s="13" t="n"/>
      <c r="M26" s="13" t="n"/>
      <c r="N26" s="13" t="n"/>
      <c r="O26" s="13" t="n"/>
      <c r="P26" s="13" t="n"/>
      <c r="Q26" s="13" t="n"/>
      <c r="R26" s="13" t="n"/>
      <c r="S26" s="13" t="n"/>
      <c r="T26" s="13" t="n"/>
      <c r="U26" s="13" t="n"/>
      <c r="V26" s="13" t="n"/>
      <c r="W26" s="13" t="n"/>
      <c r="X26" s="13" t="n"/>
      <c r="Y26" s="13" t="n"/>
      <c r="Z26" s="13" t="n"/>
      <c r="AA26" s="21">
        <f>IF(COUNT(M26:R26)=6,SUM(M26:R26),"")</f>
        <v/>
      </c>
      <c r="AB26" s="21">
        <f>IF(COUNT(S26:Z26)=8,SUM(S26:Z26),"")</f>
        <v/>
      </c>
      <c r="AC26" s="21">
        <f>IF(AA26="","",AA26/6*10)</f>
        <v/>
      </c>
      <c r="AD26" s="21">
        <f>IF(AB26="","",AB26/8*10)</f>
        <v/>
      </c>
      <c r="AE26" s="22">
        <f>IF(A26="","",IF(COUNT(M26:Z26)=14,"Completa","Incompleta: "&amp;COUNT(M26:Z26)&amp;" de 14"))</f>
        <v/>
      </c>
      <c r="AF26" s="13" t="n"/>
      <c r="AG26" s="13" t="n"/>
      <c r="AH26" s="13" t="n"/>
      <c r="AI26" s="13" t="n"/>
      <c r="AJ26" s="13" t="n"/>
    </row>
    <row r="27" ht="15.75" customHeight="1" s="45">
      <c r="A27" s="13" t="n"/>
      <c r="B27" s="13" t="n"/>
      <c r="C27" s="13" t="n"/>
      <c r="D27" s="13" t="n"/>
      <c r="E27" s="13" t="n"/>
      <c r="F27" s="13" t="n"/>
      <c r="G27" s="13" t="n"/>
      <c r="H27" s="14" t="n"/>
      <c r="I27" s="13" t="n"/>
      <c r="J27" s="13" t="n"/>
      <c r="K27" s="13" t="n"/>
      <c r="L27" s="13" t="n"/>
      <c r="M27" s="13" t="n"/>
      <c r="N27" s="13" t="n"/>
      <c r="O27" s="13" t="n"/>
      <c r="P27" s="13" t="n"/>
      <c r="Q27" s="13" t="n"/>
      <c r="R27" s="13" t="n"/>
      <c r="S27" s="13" t="n"/>
      <c r="T27" s="13" t="n"/>
      <c r="U27" s="13" t="n"/>
      <c r="V27" s="13" t="n"/>
      <c r="W27" s="13" t="n"/>
      <c r="X27" s="13" t="n"/>
      <c r="Y27" s="13" t="n"/>
      <c r="Z27" s="13" t="n"/>
      <c r="AA27" s="21">
        <f>IF(COUNT(M27:R27)=6,SUM(M27:R27),"")</f>
        <v/>
      </c>
      <c r="AB27" s="21">
        <f>IF(COUNT(S27:Z27)=8,SUM(S27:Z27),"")</f>
        <v/>
      </c>
      <c r="AC27" s="21">
        <f>IF(AA27="","",AA27/6*10)</f>
        <v/>
      </c>
      <c r="AD27" s="21">
        <f>IF(AB27="","",AB27/8*10)</f>
        <v/>
      </c>
      <c r="AE27" s="22">
        <f>IF(A27="","",IF(COUNT(M27:Z27)=14,"Completa","Incompleta: "&amp;COUNT(M27:Z27)&amp;" de 14"))</f>
        <v/>
      </c>
      <c r="AF27" s="13" t="n"/>
      <c r="AG27" s="13" t="n"/>
      <c r="AH27" s="13" t="n"/>
      <c r="AI27" s="13" t="n"/>
      <c r="AJ27" s="13" t="n"/>
    </row>
    <row r="28" ht="15.75" customHeight="1" s="45">
      <c r="A28" s="13" t="n"/>
      <c r="B28" s="13" t="n"/>
      <c r="C28" s="13" t="n"/>
      <c r="D28" s="13" t="n"/>
      <c r="E28" s="13" t="n"/>
      <c r="F28" s="13" t="n"/>
      <c r="G28" s="13" t="n"/>
      <c r="H28" s="14" t="n"/>
      <c r="I28" s="13" t="n"/>
      <c r="J28" s="13" t="n"/>
      <c r="K28" s="13" t="n"/>
      <c r="L28" s="13" t="n"/>
      <c r="M28" s="13" t="n"/>
      <c r="N28" s="13" t="n"/>
      <c r="O28" s="13" t="n"/>
      <c r="P28" s="13" t="n"/>
      <c r="Q28" s="13" t="n"/>
      <c r="R28" s="13" t="n"/>
      <c r="S28" s="13" t="n"/>
      <c r="T28" s="13" t="n"/>
      <c r="U28" s="13" t="n"/>
      <c r="V28" s="13" t="n"/>
      <c r="W28" s="13" t="n"/>
      <c r="X28" s="13" t="n"/>
      <c r="Y28" s="13" t="n"/>
      <c r="Z28" s="13" t="n"/>
      <c r="AA28" s="21">
        <f>IF(COUNT(M28:R28)=6,SUM(M28:R28),"")</f>
        <v/>
      </c>
      <c r="AB28" s="21">
        <f>IF(COUNT(S28:Z28)=8,SUM(S28:Z28),"")</f>
        <v/>
      </c>
      <c r="AC28" s="21">
        <f>IF(AA28="","",AA28/6*10)</f>
        <v/>
      </c>
      <c r="AD28" s="21">
        <f>IF(AB28="","",AB28/8*10)</f>
        <v/>
      </c>
      <c r="AE28" s="22">
        <f>IF(A28="","",IF(COUNT(M28:Z28)=14,"Completa","Incompleta: "&amp;COUNT(M28:Z28)&amp;" de 14"))</f>
        <v/>
      </c>
      <c r="AF28" s="13" t="n"/>
      <c r="AG28" s="13" t="n"/>
      <c r="AH28" s="13" t="n"/>
      <c r="AI28" s="13" t="n"/>
      <c r="AJ28" s="13" t="n"/>
    </row>
    <row r="29" ht="15.75" customHeight="1" s="45">
      <c r="A29" s="13" t="n"/>
      <c r="B29" s="13" t="n"/>
      <c r="C29" s="13" t="n"/>
      <c r="D29" s="13" t="n"/>
      <c r="E29" s="13" t="n"/>
      <c r="F29" s="13" t="n"/>
      <c r="G29" s="13" t="n"/>
      <c r="H29" s="14" t="n"/>
      <c r="I29" s="13" t="n"/>
      <c r="J29" s="13" t="n"/>
      <c r="K29" s="13" t="n"/>
      <c r="L29" s="13" t="n"/>
      <c r="M29" s="13" t="n"/>
      <c r="N29" s="13" t="n"/>
      <c r="O29" s="13" t="n"/>
      <c r="P29" s="13" t="n"/>
      <c r="Q29" s="13" t="n"/>
      <c r="R29" s="13" t="n"/>
      <c r="S29" s="13" t="n"/>
      <c r="T29" s="13" t="n"/>
      <c r="U29" s="13" t="n"/>
      <c r="V29" s="13" t="n"/>
      <c r="W29" s="13" t="n"/>
      <c r="X29" s="13" t="n"/>
      <c r="Y29" s="13" t="n"/>
      <c r="Z29" s="13" t="n"/>
      <c r="AA29" s="21">
        <f>IF(COUNT(M29:R29)=6,SUM(M29:R29),"")</f>
        <v/>
      </c>
      <c r="AB29" s="21">
        <f>IF(COUNT(S29:Z29)=8,SUM(S29:Z29),"")</f>
        <v/>
      </c>
      <c r="AC29" s="21">
        <f>IF(AA29="","",AA29/6*10)</f>
        <v/>
      </c>
      <c r="AD29" s="21">
        <f>IF(AB29="","",AB29/8*10)</f>
        <v/>
      </c>
      <c r="AE29" s="22">
        <f>IF(A29="","",IF(COUNT(M29:Z29)=14,"Completa","Incompleta: "&amp;COUNT(M29:Z29)&amp;" de 14"))</f>
        <v/>
      </c>
      <c r="AF29" s="13" t="n"/>
      <c r="AG29" s="13" t="n"/>
      <c r="AH29" s="13" t="n"/>
      <c r="AI29" s="13" t="n"/>
      <c r="AJ29" s="13" t="n"/>
    </row>
    <row r="30" ht="15.75" customHeight="1" s="45">
      <c r="A30" s="13" t="n"/>
      <c r="B30" s="13" t="n"/>
      <c r="C30" s="13" t="n"/>
      <c r="D30" s="13" t="n"/>
      <c r="E30" s="13" t="n"/>
      <c r="F30" s="13" t="n"/>
      <c r="G30" s="13" t="n"/>
      <c r="H30" s="14" t="n"/>
      <c r="I30" s="13" t="n"/>
      <c r="J30" s="13" t="n"/>
      <c r="K30" s="13" t="n"/>
      <c r="L30" s="13" t="n"/>
      <c r="M30" s="13" t="n"/>
      <c r="N30" s="13" t="n"/>
      <c r="O30" s="13" t="n"/>
      <c r="P30" s="13" t="n"/>
      <c r="Q30" s="13" t="n"/>
      <c r="R30" s="13" t="n"/>
      <c r="S30" s="13" t="n"/>
      <c r="T30" s="13" t="n"/>
      <c r="U30" s="13" t="n"/>
      <c r="V30" s="13" t="n"/>
      <c r="W30" s="13" t="n"/>
      <c r="X30" s="13" t="n"/>
      <c r="Y30" s="13" t="n"/>
      <c r="Z30" s="13" t="n"/>
      <c r="AA30" s="21">
        <f>IF(COUNT(M30:R30)=6,SUM(M30:R30),"")</f>
        <v/>
      </c>
      <c r="AB30" s="21">
        <f>IF(COUNT(S30:Z30)=8,SUM(S30:Z30),"")</f>
        <v/>
      </c>
      <c r="AC30" s="21">
        <f>IF(AA30="","",AA30/6*10)</f>
        <v/>
      </c>
      <c r="AD30" s="21">
        <f>IF(AB30="","",AB30/8*10)</f>
        <v/>
      </c>
      <c r="AE30" s="22">
        <f>IF(A30="","",IF(COUNT(M30:Z30)=14,"Completa","Incompleta: "&amp;COUNT(M30:Z30)&amp;" de 14"))</f>
        <v/>
      </c>
      <c r="AF30" s="13" t="n"/>
      <c r="AG30" s="13" t="n"/>
      <c r="AH30" s="13" t="n"/>
      <c r="AI30" s="13" t="n"/>
      <c r="AJ30" s="13" t="n"/>
    </row>
    <row r="31" ht="15.75" customHeight="1" s="45">
      <c r="A31" s="13" t="n"/>
      <c r="B31" s="13" t="n"/>
      <c r="C31" s="13" t="n"/>
      <c r="D31" s="13" t="n"/>
      <c r="E31" s="13" t="n"/>
      <c r="F31" s="13" t="n"/>
      <c r="G31" s="13" t="n"/>
      <c r="H31" s="14" t="n"/>
      <c r="I31" s="13" t="n"/>
      <c r="J31" s="13" t="n"/>
      <c r="K31" s="13" t="n"/>
      <c r="L31" s="13" t="n"/>
      <c r="M31" s="13" t="n"/>
      <c r="N31" s="13" t="n"/>
      <c r="O31" s="13" t="n"/>
      <c r="P31" s="13" t="n"/>
      <c r="Q31" s="13" t="n"/>
      <c r="R31" s="13" t="n"/>
      <c r="S31" s="13" t="n"/>
      <c r="T31" s="13" t="n"/>
      <c r="U31" s="13" t="n"/>
      <c r="V31" s="13" t="n"/>
      <c r="W31" s="13" t="n"/>
      <c r="X31" s="13" t="n"/>
      <c r="Y31" s="13" t="n"/>
      <c r="Z31" s="13" t="n"/>
      <c r="AA31" s="21">
        <f>IF(COUNT(M31:R31)=6,SUM(M31:R31),"")</f>
        <v/>
      </c>
      <c r="AB31" s="21">
        <f>IF(COUNT(S31:Z31)=8,SUM(S31:Z31),"")</f>
        <v/>
      </c>
      <c r="AC31" s="21">
        <f>IF(AA31="","",AA31/6*10)</f>
        <v/>
      </c>
      <c r="AD31" s="21">
        <f>IF(AB31="","",AB31/8*10)</f>
        <v/>
      </c>
      <c r="AE31" s="22">
        <f>IF(A31="","",IF(COUNT(M31:Z31)=14,"Completa","Incompleta: "&amp;COUNT(M31:Z31)&amp;" de 14"))</f>
        <v/>
      </c>
      <c r="AF31" s="13" t="n"/>
      <c r="AG31" s="13" t="n"/>
      <c r="AH31" s="13" t="n"/>
      <c r="AI31" s="13" t="n"/>
      <c r="AJ31" s="13" t="n"/>
    </row>
    <row r="32" ht="15.75" customHeight="1" s="45"/>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row r="1001" ht="15.75" customHeight="1" s="45"/>
  </sheetData>
  <conditionalFormatting sqref="AE3:AE31">
    <cfRule type="expression" priority="1" dxfId="0">
      <formula>LEFT(AE3,3)="Inc"</formula>
    </cfRule>
  </conditionalFormatting>
  <dataValidations count="9">
    <dataValidation sqref="J3:J31" showDropDown="0" showInputMessage="1" showErrorMessage="1" allowBlank="1" prompt="Dato inválido - Valor no permitido. Revise el Diccionario." type="list">
      <formula1>Listas!$E$2:$E$3</formula1>
    </dataValidation>
    <dataValidation sqref="AG3:AG31" showDropDown="0" showInputMessage="1" showErrorMessage="1" allowBlank="1" prompt="Dato inválido - Valor no permitido. Revise el Diccionario." type="decimal">
      <formula1>1.0</formula1>
      <formula2>5.0</formula2>
    </dataValidation>
    <dataValidation sqref="AH3:AH31" showDropDown="0" showInputMessage="1" showErrorMessage="1" allowBlank="1" prompt="Dato inválido - Valor no permitido. Revise el Diccionario." type="decimal" operator="greaterThanOrEqual">
      <formula1>0.0</formula1>
    </dataValidation>
    <dataValidation sqref="F3:F31" showDropDown="0" showInputMessage="1" showErrorMessage="1" allowBlank="1" prompt="Dato inválido - Valor no permitido. Revise el Diccionario." type="list">
      <formula1>Listas!$B$2:$B$4</formula1>
    </dataValidation>
    <dataValidation sqref="K3:K31" showDropDown="0" showInputMessage="1" showErrorMessage="1" allowBlank="1" prompt="Dato inválido - Valor no permitido. Revise el Diccionario." type="list">
      <formula1>Listas!$F$2:$F$4</formula1>
    </dataValidation>
    <dataValidation sqref="G3:G31" showDropDown="0" showInputMessage="1" showErrorMessage="1" allowBlank="1" prompt="Dato inválido - Valor no permitido. Revise el Diccionario." type="list">
      <formula1>Listas!$C$2:$C$5</formula1>
    </dataValidation>
    <dataValidation sqref="I3:I31" showDropDown="0" showInputMessage="1" showErrorMessage="1" allowBlank="1" prompt="Dato inválido - Valor no permitido. Revise el Diccionario." type="list">
      <formula1>Listas!$D$2:$D$3</formula1>
    </dataValidation>
    <dataValidation sqref="E3:E31" showDropDown="0" showInputMessage="1" showErrorMessage="1" allowBlank="1" prompt="Dato inválido - Valor no permitido. Revise el Diccionario." type="list">
      <formula1>Listas!$A$2:$A$9</formula1>
    </dataValidation>
    <dataValidation sqref="L3:Z31 AF3:AF31 AI3:AI31" showDropDown="0" showInputMessage="1" showErrorMessage="1" allowBlank="1" prompt="Dato inválido - Valor no permitido. Revise el Diccionario." type="list">
      <formula1>"0,1"</formula1>
    </dataValidation>
  </dataValidations>
  <pageMargins left="0.75" right="0.75" top="1" bottom="1"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X2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2" customWidth="1" style="45" min="1" max="6"/>
    <col width="20" customWidth="1" style="45" min="7" max="7"/>
    <col width="24" customWidth="1" style="45" min="8" max="8"/>
    <col width="22" customWidth="1" style="45" min="9" max="9"/>
    <col width="13" customWidth="1" style="45" min="10" max="10"/>
    <col width="12" customWidth="1" style="45" min="11" max="21"/>
    <col width="22" customWidth="1" style="45" min="22" max="22"/>
    <col width="40" customWidth="1" style="45" min="23" max="23"/>
    <col width="34" customWidth="1" style="45" min="24" max="24"/>
  </cols>
  <sheetData>
    <row r="1" ht="33.75" customHeight="1" s="45">
      <c r="A1" s="5" t="inlineStr">
        <is>
          <t>enc_id</t>
        </is>
      </c>
      <c r="B1" s="5" t="inlineStr">
        <is>
          <t>cafe_id</t>
        </is>
      </c>
      <c r="C1" s="5" t="inlineStr">
        <is>
          <t>fecha</t>
        </is>
      </c>
      <c r="D1" s="5" t="inlineStr">
        <is>
          <t>hora</t>
        </is>
      </c>
      <c r="E1" s="5" t="inlineStr">
        <is>
          <t>encuestador</t>
        </is>
      </c>
      <c r="F1" s="5" t="inlineStr">
        <is>
          <t>consentimiento</t>
        </is>
      </c>
      <c r="G1" s="8" t="inlineStr">
        <is>
          <t>freq_visita</t>
        </is>
      </c>
      <c r="H1" s="8" t="inlineStr">
        <is>
          <t>motivo_visita</t>
        </is>
      </c>
      <c r="I1" s="8" t="inlineStr">
        <is>
          <t>como_conocio</t>
        </is>
      </c>
      <c r="J1" s="8" t="inlineStr">
        <is>
          <t>minutos_permanencia</t>
        </is>
      </c>
      <c r="K1" s="8" t="inlineStr">
        <is>
          <t>per_ambiente</t>
        </is>
      </c>
      <c r="L1" s="8" t="inlineStr">
        <is>
          <t>per_distintivo</t>
        </is>
      </c>
      <c r="M1" s="8" t="inlineStr">
        <is>
          <t>per_origen</t>
        </is>
      </c>
      <c r="N1" s="8" t="inlineStr">
        <is>
          <t>per_historia</t>
        </is>
      </c>
      <c r="O1" s="8" t="inlineStr">
        <is>
          <t>per_calidad</t>
        </is>
      </c>
      <c r="P1" s="8" t="inlineStr">
        <is>
          <t>per_atencion</t>
        </is>
      </c>
      <c r="Q1" s="46" t="inlineStr">
        <is>
          <t>per_descripcion</t>
        </is>
      </c>
      <c r="R1" s="8" t="inlineStr">
        <is>
          <t>recuerda_dato</t>
        </is>
      </c>
      <c r="S1" s="8" t="inlineStr">
        <is>
          <t>nps_recomienda</t>
        </is>
      </c>
      <c r="T1" s="8" t="inlineStr">
        <is>
          <t>prob_volver</t>
        </is>
      </c>
      <c r="U1" s="8" t="inlineStr">
        <is>
          <t>n_otros_cafes</t>
        </is>
      </c>
      <c r="V1" s="8" t="inlineStr">
        <is>
          <t>primera_opcion</t>
        </is>
      </c>
      <c r="W1" s="8" t="inlineStr">
        <is>
          <t>obs_encuestador</t>
        </is>
      </c>
      <c r="X1" s="8" t="inlineStr">
        <is>
          <t>recuerda_dato_txt</t>
        </is>
      </c>
    </row>
    <row r="2">
      <c r="A2" s="10" t="inlineStr">
        <is>
          <t>EJEMPLO</t>
        </is>
      </c>
      <c r="B2" s="10" t="inlineStr">
        <is>
          <t>EJEMPLO</t>
        </is>
      </c>
      <c r="C2" s="11" t="n">
        <v>46340</v>
      </c>
      <c r="D2" s="10" t="inlineStr">
        <is>
          <t>09:40</t>
        </is>
      </c>
      <c r="E2" s="10" t="inlineStr">
        <is>
          <t>A</t>
        </is>
      </c>
      <c r="F2" s="10" t="n">
        <v>1</v>
      </c>
      <c r="G2" s="10" t="inlineStr">
        <is>
          <t>1–3 veces al mes</t>
        </is>
      </c>
      <c r="H2" s="10" t="inlineStr">
        <is>
          <t>Reunión social</t>
        </is>
      </c>
      <c r="I2" s="10" t="inlineStr">
        <is>
          <t>Redes sociales</t>
        </is>
      </c>
      <c r="J2" s="10" t="inlineStr">
        <is>
          <t>30-60 minutos</t>
        </is>
      </c>
      <c r="K2" s="10" t="n">
        <v>5</v>
      </c>
      <c r="L2" s="10" t="n">
        <v>4</v>
      </c>
      <c r="M2" s="10" t="n">
        <v>1</v>
      </c>
      <c r="N2" s="10" t="n">
        <v>4</v>
      </c>
      <c r="O2" s="10" t="n">
        <v>5</v>
      </c>
      <c r="P2" s="10" t="n">
        <v>4</v>
      </c>
      <c r="Q2" s="10" t="n">
        <v>1</v>
      </c>
      <c r="R2" s="10" t="n">
        <v>1</v>
      </c>
      <c r="S2" s="10" t="n">
        <v>9</v>
      </c>
      <c r="T2" s="10" t="n">
        <v>5</v>
      </c>
      <c r="U2" s="10" t="inlineStr">
        <is>
          <t>1 a 2</t>
        </is>
      </c>
      <c r="V2" s="10" t="inlineStr">
        <is>
          <t>Una de varias opciones</t>
        </is>
      </c>
      <c r="W2" s="10" t="inlineStr">
        <is>
          <t>Ejemplo de formato: la persona mencionó un dato, que se anota en recuerda_dato_txt</t>
        </is>
      </c>
      <c r="X2" s="10" t="inlineStr">
        <is>
          <t>Finca en Huila (ejemplo)</t>
        </is>
      </c>
    </row>
    <row r="3">
      <c r="A3" s="13" t="n"/>
      <c r="B3" s="13" t="n"/>
      <c r="C3" s="14" t="n"/>
      <c r="D3" s="47" t="n"/>
      <c r="E3" s="13" t="n"/>
      <c r="F3" s="13" t="n"/>
      <c r="G3" s="13" t="n"/>
      <c r="H3" s="13" t="n"/>
      <c r="I3" s="13" t="n"/>
      <c r="J3" s="13" t="n"/>
      <c r="K3" s="13" t="n"/>
      <c r="L3" s="13" t="n"/>
      <c r="M3" s="13" t="n"/>
      <c r="N3" s="13" t="n"/>
      <c r="O3" s="13" t="n"/>
      <c r="P3" s="13" t="n"/>
      <c r="Q3" s="13" t="n"/>
      <c r="R3" s="13" t="n"/>
      <c r="S3" s="13" t="n"/>
      <c r="T3" s="13" t="n"/>
      <c r="U3" s="13" t="n"/>
      <c r="V3" s="13" t="n"/>
      <c r="W3" s="13" t="n"/>
      <c r="X3" s="13" t="n"/>
    </row>
    <row r="4">
      <c r="A4" s="13" t="n"/>
      <c r="B4" s="13" t="n"/>
      <c r="C4" s="14" t="n"/>
      <c r="D4" s="47" t="n"/>
      <c r="E4" s="13" t="n"/>
      <c r="F4" s="13" t="n"/>
      <c r="G4" s="13" t="n"/>
      <c r="H4" s="13" t="n"/>
      <c r="I4" s="13" t="n"/>
      <c r="J4" s="13" t="n"/>
      <c r="K4" s="13" t="n"/>
      <c r="L4" s="13" t="n"/>
      <c r="M4" s="13" t="n"/>
      <c r="N4" s="13" t="n"/>
      <c r="O4" s="13" t="n"/>
      <c r="P4" s="13" t="n"/>
      <c r="Q4" s="13" t="n"/>
      <c r="R4" s="13" t="n"/>
      <c r="S4" s="13" t="n"/>
      <c r="T4" s="13" t="n"/>
      <c r="U4" s="13" t="n"/>
      <c r="V4" s="13" t="n"/>
      <c r="W4" s="13" t="n"/>
      <c r="X4" s="13" t="n"/>
    </row>
    <row r="5">
      <c r="A5" s="13" t="n"/>
      <c r="B5" s="13" t="n"/>
      <c r="C5" s="14" t="n"/>
      <c r="D5" s="47" t="n"/>
      <c r="E5" s="13" t="n"/>
      <c r="F5" s="13" t="n"/>
      <c r="G5" s="13" t="n"/>
      <c r="H5" s="13" t="n"/>
      <c r="I5" s="13" t="n"/>
      <c r="J5" s="13" t="n"/>
      <c r="K5" s="13" t="n"/>
      <c r="L5" s="13" t="n"/>
      <c r="M5" s="13" t="n"/>
      <c r="N5" s="13" t="n"/>
      <c r="O5" s="13" t="n"/>
      <c r="P5" s="13" t="n"/>
      <c r="Q5" s="13" t="n"/>
      <c r="R5" s="13" t="n"/>
      <c r="S5" s="13" t="n"/>
      <c r="T5" s="13" t="n"/>
      <c r="U5" s="13" t="n"/>
      <c r="V5" s="13" t="n"/>
      <c r="W5" s="13" t="n"/>
      <c r="X5" s="13" t="n"/>
    </row>
    <row r="6">
      <c r="A6" s="13" t="n"/>
      <c r="B6" s="13" t="n"/>
      <c r="C6" s="14" t="n"/>
      <c r="D6" s="47" t="n"/>
      <c r="E6" s="13" t="n"/>
      <c r="F6" s="13" t="n"/>
      <c r="G6" s="13" t="n"/>
      <c r="H6" s="13" t="n"/>
      <c r="I6" s="13" t="n"/>
      <c r="J6" s="13" t="n"/>
      <c r="K6" s="13" t="n"/>
      <c r="L6" s="13" t="n"/>
      <c r="M6" s="13" t="n"/>
      <c r="N6" s="13" t="n"/>
      <c r="O6" s="13" t="n"/>
      <c r="P6" s="13" t="n"/>
      <c r="Q6" s="13" t="n"/>
      <c r="R6" s="13" t="n"/>
      <c r="S6" s="13" t="n"/>
      <c r="T6" s="13" t="n"/>
      <c r="U6" s="13" t="n"/>
      <c r="V6" s="13" t="n"/>
      <c r="W6" s="13" t="n"/>
      <c r="X6" s="13" t="n"/>
    </row>
    <row r="7">
      <c r="A7" s="13" t="n"/>
      <c r="B7" s="13" t="n"/>
      <c r="C7" s="14" t="n"/>
      <c r="D7" s="47" t="n"/>
      <c r="E7" s="13" t="n"/>
      <c r="F7" s="13" t="n"/>
      <c r="G7" s="13" t="n"/>
      <c r="H7" s="13" t="n"/>
      <c r="I7" s="13" t="n"/>
      <c r="J7" s="13" t="n"/>
      <c r="K7" s="13" t="n"/>
      <c r="L7" s="13" t="n"/>
      <c r="M7" s="13" t="n"/>
      <c r="N7" s="13" t="n"/>
      <c r="O7" s="13" t="n"/>
      <c r="P7" s="13" t="n"/>
      <c r="Q7" s="13" t="n"/>
      <c r="R7" s="13" t="n"/>
      <c r="S7" s="13" t="n"/>
      <c r="T7" s="13" t="n"/>
      <c r="U7" s="13" t="n"/>
      <c r="V7" s="13" t="n"/>
      <c r="W7" s="13" t="n"/>
      <c r="X7" s="13" t="n"/>
    </row>
    <row r="8">
      <c r="A8" s="13" t="n"/>
      <c r="B8" s="13" t="n"/>
      <c r="C8" s="14" t="n"/>
      <c r="D8" s="47"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4" t="n"/>
      <c r="D9" s="47"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4" t="n"/>
      <c r="D10" s="47"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4" t="n"/>
      <c r="D11" s="47"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4" t="n"/>
      <c r="D12" s="47"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4" t="n"/>
      <c r="D13" s="47"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4" t="n"/>
      <c r="D14" s="47"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4" t="n"/>
      <c r="D15" s="47"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4" t="n"/>
      <c r="D16" s="47"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4" t="n"/>
      <c r="D17" s="47"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4" t="n"/>
      <c r="D18" s="47"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4" t="n"/>
      <c r="D19" s="47"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4" t="n"/>
      <c r="D20" s="47"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1" ht="15.75" customHeight="1" s="45">
      <c r="A21" s="13" t="n"/>
      <c r="B21" s="13" t="n"/>
      <c r="C21" s="14" t="n"/>
      <c r="D21" s="47"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row>
    <row r="22" ht="15.75" customHeight="1" s="45">
      <c r="A22" s="13" t="n"/>
      <c r="B22" s="13" t="n"/>
      <c r="C22" s="14" t="n"/>
      <c r="D22" s="47"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row>
    <row r="23" ht="15.75" customHeight="1" s="45">
      <c r="A23" s="13" t="n"/>
      <c r="B23" s="13" t="n"/>
      <c r="C23" s="14" t="n"/>
      <c r="D23" s="47"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row>
    <row r="24" ht="15.75" customHeight="1" s="45">
      <c r="A24" s="13" t="n"/>
      <c r="B24" s="13" t="n"/>
      <c r="C24" s="14" t="n"/>
      <c r="D24" s="47"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row>
    <row r="25" ht="15.75" customHeight="1" s="45">
      <c r="A25" s="13" t="n"/>
      <c r="B25" s="13" t="n"/>
      <c r="C25" s="14" t="n"/>
      <c r="D25" s="47"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row>
    <row r="26" ht="15.75" customHeight="1" s="45">
      <c r="A26" s="13" t="n"/>
      <c r="B26" s="13" t="n"/>
      <c r="C26" s="14" t="n"/>
      <c r="D26" s="47"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row>
    <row r="27" ht="15.75" customHeight="1" s="45">
      <c r="A27" s="13" t="n"/>
      <c r="B27" s="13" t="n"/>
      <c r="C27" s="14" t="n"/>
      <c r="D27" s="47"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row>
    <row r="28" ht="15.75" customHeight="1" s="45">
      <c r="A28" s="13" t="n"/>
      <c r="B28" s="13" t="n"/>
      <c r="C28" s="14" t="n"/>
      <c r="D28" s="47"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row>
    <row r="29" ht="15.75" customHeight="1" s="45">
      <c r="A29" s="13" t="n"/>
      <c r="B29" s="13" t="n"/>
      <c r="C29" s="14" t="n"/>
      <c r="D29" s="47"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row>
    <row r="30" ht="15.75" customHeight="1" s="45">
      <c r="A30" s="13" t="n"/>
      <c r="B30" s="13" t="n"/>
      <c r="C30" s="14" t="n"/>
      <c r="D30" s="47"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row>
    <row r="31" ht="15.75" customHeight="1" s="45">
      <c r="A31" s="13" t="n"/>
      <c r="B31" s="13" t="n"/>
      <c r="C31" s="14" t="n"/>
      <c r="D31" s="47"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row>
    <row r="32" ht="15.75" customHeight="1" s="45">
      <c r="A32" s="13" t="n"/>
      <c r="B32" s="13" t="n"/>
      <c r="C32" s="14" t="n"/>
      <c r="D32" s="47"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row>
    <row r="33" ht="15.75" customHeight="1" s="45">
      <c r="A33" s="13" t="n"/>
      <c r="B33" s="13" t="n"/>
      <c r="C33" s="14" t="n"/>
      <c r="D33" s="47"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row>
    <row r="34" ht="15.75" customHeight="1" s="45">
      <c r="A34" s="13" t="n"/>
      <c r="B34" s="13" t="n"/>
      <c r="C34" s="14" t="n"/>
      <c r="D34" s="47"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row>
    <row r="35" ht="15.75" customHeight="1" s="45">
      <c r="A35" s="13" t="n"/>
      <c r="B35" s="13" t="n"/>
      <c r="C35" s="14" t="n"/>
      <c r="D35" s="47"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row>
    <row r="36" ht="15.75" customHeight="1" s="45">
      <c r="A36" s="13" t="n"/>
      <c r="B36" s="13" t="n"/>
      <c r="C36" s="14" t="n"/>
      <c r="D36" s="47"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row>
    <row r="37" ht="15.75" customHeight="1" s="45">
      <c r="A37" s="13" t="n"/>
      <c r="B37" s="13" t="n"/>
      <c r="C37" s="14" t="n"/>
      <c r="D37" s="47"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row>
    <row r="38" ht="15.75" customHeight="1" s="45">
      <c r="A38" s="13" t="n"/>
      <c r="B38" s="13" t="n"/>
      <c r="C38" s="14" t="n"/>
      <c r="D38" s="47"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row>
    <row r="39" ht="15.75" customHeight="1" s="45">
      <c r="A39" s="13" t="n"/>
      <c r="B39" s="13" t="n"/>
      <c r="C39" s="14" t="n"/>
      <c r="D39" s="47"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row>
    <row r="40" ht="15.75" customHeight="1" s="45">
      <c r="A40" s="13" t="n"/>
      <c r="B40" s="13" t="n"/>
      <c r="C40" s="14" t="n"/>
      <c r="D40" s="47"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row>
    <row r="41" ht="15.75" customHeight="1" s="45">
      <c r="A41" s="13" t="n"/>
      <c r="B41" s="13" t="n"/>
      <c r="C41" s="14" t="n"/>
      <c r="D41" s="47"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row>
    <row r="42" ht="15.75" customHeight="1" s="45">
      <c r="A42" s="13" t="n"/>
      <c r="B42" s="13" t="n"/>
      <c r="C42" s="14" t="n"/>
      <c r="D42" s="47"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row>
    <row r="43" ht="15.75" customHeight="1" s="45">
      <c r="A43" s="13" t="n"/>
      <c r="B43" s="13" t="n"/>
      <c r="C43" s="14" t="n"/>
      <c r="D43" s="47"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row>
    <row r="44" ht="15.75" customHeight="1" s="45">
      <c r="A44" s="13" t="n"/>
      <c r="B44" s="13" t="n"/>
      <c r="C44" s="14" t="n"/>
      <c r="D44" s="47"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row>
    <row r="45" ht="15.75" customHeight="1" s="45">
      <c r="A45" s="13" t="n"/>
      <c r="B45" s="13" t="n"/>
      <c r="C45" s="14" t="n"/>
      <c r="D45" s="47"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row>
    <row r="46" ht="15.75" customHeight="1" s="45">
      <c r="A46" s="13" t="n"/>
      <c r="B46" s="13" t="n"/>
      <c r="C46" s="14" t="n"/>
      <c r="D46" s="47"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row>
    <row r="47" ht="15.75" customHeight="1" s="45">
      <c r="A47" s="13" t="n"/>
      <c r="B47" s="13" t="n"/>
      <c r="C47" s="14" t="n"/>
      <c r="D47" s="47"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row>
    <row r="48" ht="15.75" customHeight="1" s="45">
      <c r="A48" s="13" t="n"/>
      <c r="B48" s="13" t="n"/>
      <c r="C48" s="14" t="n"/>
      <c r="D48" s="47"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row>
    <row r="49" ht="15.75" customHeight="1" s="45">
      <c r="A49" s="13" t="n"/>
      <c r="B49" s="13" t="n"/>
      <c r="C49" s="14" t="n"/>
      <c r="D49" s="47"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row>
    <row r="50" ht="15.75" customHeight="1" s="45">
      <c r="A50" s="13" t="n"/>
      <c r="B50" s="13" t="n"/>
      <c r="C50" s="14" t="n"/>
      <c r="D50" s="47"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row>
    <row r="51" ht="15.75" customHeight="1" s="45">
      <c r="A51" s="13" t="n"/>
      <c r="B51" s="13" t="n"/>
      <c r="C51" s="14" t="n"/>
      <c r="D51" s="47"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row>
    <row r="52" ht="15.75" customHeight="1" s="45">
      <c r="A52" s="13" t="n"/>
      <c r="B52" s="13" t="n"/>
      <c r="C52" s="14" t="n"/>
      <c r="D52" s="47"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row>
    <row r="53" ht="15.75" customHeight="1" s="45">
      <c r="A53" s="13" t="n"/>
      <c r="B53" s="13" t="n"/>
      <c r="C53" s="14" t="n"/>
      <c r="D53" s="47"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row>
    <row r="54" ht="15.75" customHeight="1" s="45">
      <c r="A54" s="13" t="n"/>
      <c r="B54" s="13" t="n"/>
      <c r="C54" s="14" t="n"/>
      <c r="D54" s="47"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row>
    <row r="55" ht="15.75" customHeight="1" s="45">
      <c r="A55" s="13" t="n"/>
      <c r="B55" s="13" t="n"/>
      <c r="C55" s="14" t="n"/>
      <c r="D55" s="47"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row>
    <row r="56" ht="15.75" customHeight="1" s="45">
      <c r="A56" s="13" t="n"/>
      <c r="B56" s="13" t="n"/>
      <c r="C56" s="14" t="n"/>
      <c r="D56" s="47"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row>
    <row r="57" ht="15.75" customHeight="1" s="45">
      <c r="A57" s="13" t="n"/>
      <c r="B57" s="13" t="n"/>
      <c r="C57" s="14" t="n"/>
      <c r="D57" s="47"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row>
    <row r="58" ht="15.75" customHeight="1" s="45">
      <c r="A58" s="13" t="n"/>
      <c r="B58" s="13" t="n"/>
      <c r="C58" s="14" t="n"/>
      <c r="D58" s="47"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row>
    <row r="59" ht="15.75" customHeight="1" s="45">
      <c r="A59" s="13" t="n"/>
      <c r="B59" s="13" t="n"/>
      <c r="C59" s="14" t="n"/>
      <c r="D59" s="47"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row>
    <row r="60" ht="15.75" customHeight="1" s="45">
      <c r="A60" s="13" t="n"/>
      <c r="B60" s="13" t="n"/>
      <c r="C60" s="14" t="n"/>
      <c r="D60" s="47"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row>
    <row r="61" ht="15.75" customHeight="1" s="45">
      <c r="A61" s="13" t="n"/>
      <c r="B61" s="13" t="n"/>
      <c r="C61" s="14" t="n"/>
      <c r="D61" s="47"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row>
    <row r="62" ht="15.75" customHeight="1" s="45">
      <c r="A62" s="13" t="n"/>
      <c r="B62" s="13" t="n"/>
      <c r="C62" s="14" t="n"/>
      <c r="D62" s="47"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row>
    <row r="63" ht="15.75" customHeight="1" s="45">
      <c r="A63" s="13" t="n"/>
      <c r="B63" s="13" t="n"/>
      <c r="C63" s="14" t="n"/>
      <c r="D63" s="47"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row>
    <row r="64" ht="15.75" customHeight="1" s="45">
      <c r="A64" s="13" t="n"/>
      <c r="B64" s="13" t="n"/>
      <c r="C64" s="14" t="n"/>
      <c r="D64" s="47"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row>
    <row r="65" ht="15.75" customHeight="1" s="45">
      <c r="A65" s="13" t="n"/>
      <c r="B65" s="13" t="n"/>
      <c r="C65" s="14" t="n"/>
      <c r="D65" s="47"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row>
    <row r="66" ht="15.75" customHeight="1" s="45">
      <c r="A66" s="13" t="n"/>
      <c r="B66" s="13" t="n"/>
      <c r="C66" s="14" t="n"/>
      <c r="D66" s="47"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row>
    <row r="67" ht="15.75" customHeight="1" s="45">
      <c r="A67" s="13" t="n"/>
      <c r="B67" s="13" t="n"/>
      <c r="C67" s="14" t="n"/>
      <c r="D67" s="47"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row>
    <row r="68" ht="15.75" customHeight="1" s="45">
      <c r="A68" s="13" t="n"/>
      <c r="B68" s="13" t="n"/>
      <c r="C68" s="14" t="n"/>
      <c r="D68" s="47"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row>
    <row r="69" ht="15.75" customHeight="1" s="45">
      <c r="A69" s="13" t="n"/>
      <c r="B69" s="13" t="n"/>
      <c r="C69" s="14" t="n"/>
      <c r="D69" s="47"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row>
    <row r="70" ht="15.75" customHeight="1" s="45">
      <c r="A70" s="13" t="n"/>
      <c r="B70" s="13" t="n"/>
      <c r="C70" s="14" t="n"/>
      <c r="D70" s="47"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row>
    <row r="71" ht="15.75" customHeight="1" s="45">
      <c r="A71" s="13" t="n"/>
      <c r="B71" s="13" t="n"/>
      <c r="C71" s="14" t="n"/>
      <c r="D71" s="47"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row>
    <row r="72" ht="15.75" customHeight="1" s="45">
      <c r="A72" s="13" t="n"/>
      <c r="B72" s="13" t="n"/>
      <c r="C72" s="14" t="n"/>
      <c r="D72" s="47"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row>
    <row r="73" ht="15.75" customHeight="1" s="45">
      <c r="A73" s="13" t="n"/>
      <c r="B73" s="13" t="n"/>
      <c r="C73" s="14" t="n"/>
      <c r="D73" s="47"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row>
    <row r="74" ht="15.75" customHeight="1" s="45">
      <c r="A74" s="13" t="n"/>
      <c r="B74" s="13" t="n"/>
      <c r="C74" s="14" t="n"/>
      <c r="D74" s="47"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row>
    <row r="75" ht="15.75" customHeight="1" s="45">
      <c r="A75" s="13" t="n"/>
      <c r="B75" s="13" t="n"/>
      <c r="C75" s="14" t="n"/>
      <c r="D75" s="47"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row>
    <row r="76" ht="15.75" customHeight="1" s="45">
      <c r="A76" s="13" t="n"/>
      <c r="B76" s="13" t="n"/>
      <c r="C76" s="14" t="n"/>
      <c r="D76" s="47"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row>
    <row r="77" ht="15.75" customHeight="1" s="45">
      <c r="A77" s="13" t="n"/>
      <c r="B77" s="13" t="n"/>
      <c r="C77" s="14" t="n"/>
      <c r="D77" s="47"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row>
    <row r="78" ht="15.75" customHeight="1" s="45">
      <c r="A78" s="13" t="n"/>
      <c r="B78" s="13" t="n"/>
      <c r="C78" s="14" t="n"/>
      <c r="D78" s="47"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row>
    <row r="79" ht="15.75" customHeight="1" s="45">
      <c r="A79" s="13" t="n"/>
      <c r="B79" s="13" t="n"/>
      <c r="C79" s="14" t="n"/>
      <c r="D79" s="47"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row>
    <row r="80" ht="15.75" customHeight="1" s="45">
      <c r="A80" s="13" t="n"/>
      <c r="B80" s="13" t="n"/>
      <c r="C80" s="14" t="n"/>
      <c r="D80" s="47"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row>
    <row r="81" ht="15.75" customHeight="1" s="45">
      <c r="A81" s="13" t="n"/>
      <c r="B81" s="13" t="n"/>
      <c r="C81" s="14" t="n"/>
      <c r="D81" s="47"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row>
    <row r="82" ht="15.75" customHeight="1" s="45">
      <c r="A82" s="13" t="n"/>
      <c r="B82" s="13" t="n"/>
      <c r="C82" s="14" t="n"/>
      <c r="D82" s="47"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row>
    <row r="83" ht="15.75" customHeight="1" s="45">
      <c r="A83" s="13" t="n"/>
      <c r="B83" s="13" t="n"/>
      <c r="C83" s="14" t="n"/>
      <c r="D83" s="47"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row>
    <row r="84" ht="15.75" customHeight="1" s="45">
      <c r="A84" s="13" t="n"/>
      <c r="B84" s="13" t="n"/>
      <c r="C84" s="14" t="n"/>
      <c r="D84" s="47"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row>
    <row r="85" ht="15.75" customHeight="1" s="45">
      <c r="A85" s="13" t="n"/>
      <c r="B85" s="13" t="n"/>
      <c r="C85" s="14" t="n"/>
      <c r="D85" s="47"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row>
    <row r="86" ht="15.75" customHeight="1" s="45">
      <c r="A86" s="13" t="n"/>
      <c r="B86" s="13" t="n"/>
      <c r="C86" s="14" t="n"/>
      <c r="D86" s="47"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row>
    <row r="87" ht="15.75" customHeight="1" s="45">
      <c r="A87" s="13" t="n"/>
      <c r="B87" s="13" t="n"/>
      <c r="C87" s="14" t="n"/>
      <c r="D87" s="47"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row>
    <row r="88" ht="15.75" customHeight="1" s="45">
      <c r="A88" s="13" t="n"/>
      <c r="B88" s="13" t="n"/>
      <c r="C88" s="14" t="n"/>
      <c r="D88" s="47"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row>
    <row r="89" ht="15.75" customHeight="1" s="45">
      <c r="A89" s="13" t="n"/>
      <c r="B89" s="13" t="n"/>
      <c r="C89" s="14" t="n"/>
      <c r="D89" s="47"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row>
    <row r="90" ht="15.75" customHeight="1" s="45">
      <c r="A90" s="13" t="n"/>
      <c r="B90" s="13" t="n"/>
      <c r="C90" s="14" t="n"/>
      <c r="D90" s="47"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row>
    <row r="91" ht="15.75" customHeight="1" s="45">
      <c r="A91" s="13" t="n"/>
      <c r="B91" s="13" t="n"/>
      <c r="C91" s="14" t="n"/>
      <c r="D91" s="47"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row>
    <row r="92" ht="15.75" customHeight="1" s="45">
      <c r="A92" s="13" t="n"/>
      <c r="B92" s="13" t="n"/>
      <c r="C92" s="14" t="n"/>
      <c r="D92" s="47"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row>
    <row r="93" ht="15.75" customHeight="1" s="45">
      <c r="A93" s="13" t="n"/>
      <c r="B93" s="13" t="n"/>
      <c r="C93" s="14" t="n"/>
      <c r="D93" s="47"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row>
    <row r="94" ht="15.75" customHeight="1" s="45">
      <c r="A94" s="13" t="n"/>
      <c r="B94" s="13" t="n"/>
      <c r="C94" s="14" t="n"/>
      <c r="D94" s="47"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row>
    <row r="95" ht="15.75" customHeight="1" s="45">
      <c r="A95" s="13" t="n"/>
      <c r="B95" s="13" t="n"/>
      <c r="C95" s="14" t="n"/>
      <c r="D95" s="47"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row>
    <row r="96" ht="15.75" customHeight="1" s="45">
      <c r="A96" s="13" t="n"/>
      <c r="B96" s="13" t="n"/>
      <c r="C96" s="14" t="n"/>
      <c r="D96" s="47"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row>
    <row r="97" ht="15.75" customHeight="1" s="45">
      <c r="A97" s="13" t="n"/>
      <c r="B97" s="13" t="n"/>
      <c r="C97" s="14" t="n"/>
      <c r="D97" s="47"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row>
    <row r="98" ht="15.75" customHeight="1" s="45">
      <c r="A98" s="13" t="n"/>
      <c r="B98" s="13" t="n"/>
      <c r="C98" s="14" t="n"/>
      <c r="D98" s="47"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row>
    <row r="99" ht="15.75" customHeight="1" s="45">
      <c r="A99" s="13" t="n"/>
      <c r="B99" s="13" t="n"/>
      <c r="C99" s="14" t="n"/>
      <c r="D99" s="47"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row>
    <row r="100" ht="15.75" customHeight="1" s="45">
      <c r="A100" s="13" t="n"/>
      <c r="B100" s="13" t="n"/>
      <c r="C100" s="14" t="n"/>
      <c r="D100" s="47"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row>
    <row r="101" ht="15.75" customHeight="1" s="45">
      <c r="A101" s="13" t="n"/>
      <c r="B101" s="13" t="n"/>
      <c r="C101" s="14" t="n"/>
      <c r="D101" s="47"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row>
    <row r="102" ht="15.75" customHeight="1" s="45">
      <c r="A102" s="13" t="n"/>
      <c r="B102" s="13" t="n"/>
      <c r="C102" s="14" t="n"/>
      <c r="D102" s="47"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row>
    <row r="103" ht="15.75" customHeight="1" s="45">
      <c r="A103" s="13" t="n"/>
      <c r="B103" s="13" t="n"/>
      <c r="C103" s="14" t="n"/>
      <c r="D103" s="47"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row>
    <row r="104" ht="15.75" customHeight="1" s="45">
      <c r="A104" s="13" t="n"/>
      <c r="B104" s="13" t="n"/>
      <c r="C104" s="14" t="n"/>
      <c r="D104" s="47"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row>
    <row r="105" ht="15.75" customHeight="1" s="45">
      <c r="A105" s="13" t="n"/>
      <c r="B105" s="13" t="n"/>
      <c r="C105" s="14" t="n"/>
      <c r="D105" s="47"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row>
    <row r="106" ht="15.75" customHeight="1" s="45">
      <c r="A106" s="13" t="n"/>
      <c r="B106" s="13" t="n"/>
      <c r="C106" s="14" t="n"/>
      <c r="D106" s="47"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row>
    <row r="107" ht="15.75" customHeight="1" s="45">
      <c r="A107" s="13" t="n"/>
      <c r="B107" s="13" t="n"/>
      <c r="C107" s="14" t="n"/>
      <c r="D107" s="47"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row>
    <row r="108" ht="15.75" customHeight="1" s="45">
      <c r="A108" s="13" t="n"/>
      <c r="B108" s="13" t="n"/>
      <c r="C108" s="14" t="n"/>
      <c r="D108" s="47"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row>
    <row r="109" ht="15.75" customHeight="1" s="45">
      <c r="A109" s="13" t="n"/>
      <c r="B109" s="13" t="n"/>
      <c r="C109" s="14" t="n"/>
      <c r="D109" s="47"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row>
    <row r="110" ht="15.75" customHeight="1" s="45">
      <c r="A110" s="13" t="n"/>
      <c r="B110" s="13" t="n"/>
      <c r="C110" s="14" t="n"/>
      <c r="D110" s="47"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row>
    <row r="111" ht="15.75" customHeight="1" s="45">
      <c r="A111" s="13" t="n"/>
      <c r="B111" s="13" t="n"/>
      <c r="C111" s="14" t="n"/>
      <c r="D111" s="47"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row>
    <row r="112" ht="15.75" customHeight="1" s="45">
      <c r="A112" s="13" t="n"/>
      <c r="B112" s="13" t="n"/>
      <c r="C112" s="14" t="n"/>
      <c r="D112" s="47"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row>
    <row r="113" ht="15.75" customHeight="1" s="45">
      <c r="A113" s="13" t="n"/>
      <c r="B113" s="13" t="n"/>
      <c r="C113" s="14" t="n"/>
      <c r="D113" s="47"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row>
    <row r="114" ht="15.75" customHeight="1" s="45">
      <c r="A114" s="13" t="n"/>
      <c r="B114" s="13" t="n"/>
      <c r="C114" s="14" t="n"/>
      <c r="D114" s="47"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row>
    <row r="115" ht="15.75" customHeight="1" s="45">
      <c r="A115" s="13" t="n"/>
      <c r="B115" s="13" t="n"/>
      <c r="C115" s="14" t="n"/>
      <c r="D115" s="47"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row>
    <row r="116" ht="15.75" customHeight="1" s="45">
      <c r="A116" s="13" t="n"/>
      <c r="B116" s="13" t="n"/>
      <c r="C116" s="14" t="n"/>
      <c r="D116" s="47"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row>
    <row r="117" ht="15.75" customHeight="1" s="45">
      <c r="A117" s="13" t="n"/>
      <c r="B117" s="13" t="n"/>
      <c r="C117" s="14" t="n"/>
      <c r="D117" s="47"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row>
    <row r="118" ht="15.75" customHeight="1" s="45">
      <c r="A118" s="13" t="n"/>
      <c r="B118" s="13" t="n"/>
      <c r="C118" s="14" t="n"/>
      <c r="D118" s="47"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row>
    <row r="119" ht="15.75" customHeight="1" s="45">
      <c r="A119" s="13" t="n"/>
      <c r="B119" s="13" t="n"/>
      <c r="C119" s="14" t="n"/>
      <c r="D119" s="47"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row>
    <row r="120" ht="15.75" customHeight="1" s="45">
      <c r="A120" s="13" t="n"/>
      <c r="B120" s="13" t="n"/>
      <c r="C120" s="14" t="n"/>
      <c r="D120" s="47"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row>
    <row r="121" ht="15.75" customHeight="1" s="45">
      <c r="A121" s="13" t="n"/>
      <c r="B121" s="13" t="n"/>
      <c r="C121" s="14" t="n"/>
      <c r="D121" s="47"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row>
    <row r="122" ht="15.75" customHeight="1" s="45">
      <c r="A122" s="13" t="n"/>
      <c r="B122" s="13" t="n"/>
      <c r="C122" s="14" t="n"/>
      <c r="D122" s="47"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row>
    <row r="123" ht="15.75" customHeight="1" s="45">
      <c r="A123" s="13" t="n"/>
      <c r="B123" s="13" t="n"/>
      <c r="C123" s="14" t="n"/>
      <c r="D123" s="47"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row>
    <row r="124" ht="15.75" customHeight="1" s="45">
      <c r="A124" s="13" t="n"/>
      <c r="B124" s="13" t="n"/>
      <c r="C124" s="14" t="n"/>
      <c r="D124" s="47"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row>
    <row r="125" ht="15.75" customHeight="1" s="45">
      <c r="A125" s="13" t="n"/>
      <c r="B125" s="13" t="n"/>
      <c r="C125" s="14" t="n"/>
      <c r="D125" s="47"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row>
    <row r="126" ht="15.75" customHeight="1" s="45">
      <c r="A126" s="13" t="n"/>
      <c r="B126" s="13" t="n"/>
      <c r="C126" s="14" t="n"/>
      <c r="D126" s="47"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row>
    <row r="127" ht="15.75" customHeight="1" s="45">
      <c r="A127" s="13" t="n"/>
      <c r="B127" s="13" t="n"/>
      <c r="C127" s="14" t="n"/>
      <c r="D127" s="47"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row>
    <row r="128" ht="15.75" customHeight="1" s="45">
      <c r="A128" s="13" t="n"/>
      <c r="B128" s="13" t="n"/>
      <c r="C128" s="14" t="n"/>
      <c r="D128" s="47"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row>
    <row r="129" ht="15.75" customHeight="1" s="45">
      <c r="A129" s="13" t="n"/>
      <c r="B129" s="13" t="n"/>
      <c r="C129" s="14" t="n"/>
      <c r="D129" s="47"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row>
    <row r="130" ht="15.75" customHeight="1" s="45">
      <c r="A130" s="13" t="n"/>
      <c r="B130" s="13" t="n"/>
      <c r="C130" s="14" t="n"/>
      <c r="D130" s="47"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row>
    <row r="131" ht="15.75" customHeight="1" s="45">
      <c r="A131" s="13" t="n"/>
      <c r="B131" s="13" t="n"/>
      <c r="C131" s="14" t="n"/>
      <c r="D131" s="47"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row>
    <row r="132" ht="15.75" customHeight="1" s="45">
      <c r="A132" s="13" t="n"/>
      <c r="B132" s="13" t="n"/>
      <c r="C132" s="14" t="n"/>
      <c r="D132" s="47"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row>
    <row r="133" ht="15.75" customHeight="1" s="45">
      <c r="A133" s="13" t="n"/>
      <c r="B133" s="13" t="n"/>
      <c r="C133" s="14" t="n"/>
      <c r="D133" s="47"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row>
    <row r="134" ht="15.75" customHeight="1" s="45">
      <c r="A134" s="13" t="n"/>
      <c r="B134" s="13" t="n"/>
      <c r="C134" s="14" t="n"/>
      <c r="D134" s="47"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row>
    <row r="135" ht="15.75" customHeight="1" s="45">
      <c r="A135" s="13" t="n"/>
      <c r="B135" s="13" t="n"/>
      <c r="C135" s="14" t="n"/>
      <c r="D135" s="47"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row>
    <row r="136" ht="15.75" customHeight="1" s="45">
      <c r="A136" s="13" t="n"/>
      <c r="B136" s="13" t="n"/>
      <c r="C136" s="14" t="n"/>
      <c r="D136" s="47"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row>
    <row r="137" ht="15.75" customHeight="1" s="45">
      <c r="A137" s="13" t="n"/>
      <c r="B137" s="13" t="n"/>
      <c r="C137" s="14" t="n"/>
      <c r="D137" s="47"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row>
    <row r="138" ht="15.75" customHeight="1" s="45">
      <c r="A138" s="13" t="n"/>
      <c r="B138" s="13" t="n"/>
      <c r="C138" s="14" t="n"/>
      <c r="D138" s="47"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row>
    <row r="139" ht="15.75" customHeight="1" s="45">
      <c r="A139" s="13" t="n"/>
      <c r="B139" s="13" t="n"/>
      <c r="C139" s="14" t="n"/>
      <c r="D139" s="47"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row>
    <row r="140" ht="15.75" customHeight="1" s="45">
      <c r="A140" s="13" t="n"/>
      <c r="B140" s="13" t="n"/>
      <c r="C140" s="14" t="n"/>
      <c r="D140" s="47"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row>
    <row r="141" ht="15.75" customHeight="1" s="45">
      <c r="A141" s="13" t="n"/>
      <c r="B141" s="13" t="n"/>
      <c r="C141" s="14" t="n"/>
      <c r="D141" s="47"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row>
    <row r="142" ht="15.75" customHeight="1" s="45">
      <c r="A142" s="13" t="n"/>
      <c r="B142" s="13" t="n"/>
      <c r="C142" s="14" t="n"/>
      <c r="D142" s="47"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row>
    <row r="143" ht="15.75" customHeight="1" s="45">
      <c r="A143" s="13" t="n"/>
      <c r="B143" s="13" t="n"/>
      <c r="C143" s="14" t="n"/>
      <c r="D143" s="47"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row>
    <row r="144" ht="15.75" customHeight="1" s="45">
      <c r="A144" s="13" t="n"/>
      <c r="B144" s="13" t="n"/>
      <c r="C144" s="14" t="n"/>
      <c r="D144" s="47"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row>
    <row r="145" ht="15.75" customHeight="1" s="45">
      <c r="A145" s="13" t="n"/>
      <c r="B145" s="13" t="n"/>
      <c r="C145" s="14" t="n"/>
      <c r="D145" s="47"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row>
    <row r="146" ht="15.75" customHeight="1" s="45">
      <c r="A146" s="13" t="n"/>
      <c r="B146" s="13" t="n"/>
      <c r="C146" s="14" t="n"/>
      <c r="D146" s="47"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row>
    <row r="147" ht="15.75" customHeight="1" s="45">
      <c r="A147" s="13" t="n"/>
      <c r="B147" s="13" t="n"/>
      <c r="C147" s="14" t="n"/>
      <c r="D147" s="47"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row>
    <row r="148" ht="15.75" customHeight="1" s="45">
      <c r="A148" s="13" t="n"/>
      <c r="B148" s="13" t="n"/>
      <c r="C148" s="14" t="n"/>
      <c r="D148" s="47"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row>
    <row r="149" ht="15.75" customHeight="1" s="45">
      <c r="A149" s="13" t="n"/>
      <c r="B149" s="13" t="n"/>
      <c r="C149" s="14" t="n"/>
      <c r="D149" s="47"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row>
    <row r="150" ht="15.75" customHeight="1" s="45">
      <c r="A150" s="13" t="n"/>
      <c r="B150" s="13" t="n"/>
      <c r="C150" s="14" t="n"/>
      <c r="D150" s="47"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row>
    <row r="151" ht="15.75" customHeight="1" s="45">
      <c r="A151" s="13" t="n"/>
      <c r="B151" s="13" t="n"/>
      <c r="C151" s="14" t="n"/>
      <c r="D151" s="47"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row>
    <row r="152" ht="15.75" customHeight="1" s="45">
      <c r="A152" s="13" t="n"/>
      <c r="B152" s="13" t="n"/>
      <c r="C152" s="14" t="n"/>
      <c r="D152" s="47"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row>
    <row r="153" ht="15.75" customHeight="1" s="45">
      <c r="A153" s="13" t="n"/>
      <c r="B153" s="13" t="n"/>
      <c r="C153" s="14" t="n"/>
      <c r="D153" s="47"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row>
    <row r="154" ht="15.75" customHeight="1" s="45">
      <c r="A154" s="13" t="n"/>
      <c r="B154" s="13" t="n"/>
      <c r="C154" s="14" t="n"/>
      <c r="D154" s="47"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row>
    <row r="155" ht="15.75" customHeight="1" s="45">
      <c r="A155" s="13" t="n"/>
      <c r="B155" s="13" t="n"/>
      <c r="C155" s="14" t="n"/>
      <c r="D155" s="47"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row>
    <row r="156" ht="15.75" customHeight="1" s="45">
      <c r="A156" s="13" t="n"/>
      <c r="B156" s="13" t="n"/>
      <c r="C156" s="14" t="n"/>
      <c r="D156" s="47"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row>
    <row r="157" ht="15.75" customHeight="1" s="45">
      <c r="A157" s="13" t="n"/>
      <c r="B157" s="13" t="n"/>
      <c r="C157" s="14" t="n"/>
      <c r="D157" s="47"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row>
    <row r="158" ht="15.75" customHeight="1" s="45">
      <c r="A158" s="13" t="n"/>
      <c r="B158" s="13" t="n"/>
      <c r="C158" s="14" t="n"/>
      <c r="D158" s="47"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row>
    <row r="159" ht="15.75" customHeight="1" s="45">
      <c r="A159" s="13" t="n"/>
      <c r="B159" s="13" t="n"/>
      <c r="C159" s="14" t="n"/>
      <c r="D159" s="47"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row>
    <row r="160" ht="15.75" customHeight="1" s="45">
      <c r="A160" s="13" t="n"/>
      <c r="B160" s="13" t="n"/>
      <c r="C160" s="14" t="n"/>
      <c r="D160" s="47"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row>
    <row r="161" ht="15.75" customHeight="1" s="45">
      <c r="A161" s="13" t="n"/>
      <c r="B161" s="13" t="n"/>
      <c r="C161" s="14" t="n"/>
      <c r="D161" s="47"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row>
    <row r="162" ht="15.75" customHeight="1" s="45">
      <c r="A162" s="13" t="n"/>
      <c r="B162" s="13" t="n"/>
      <c r="C162" s="14" t="n"/>
      <c r="D162" s="47"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row>
    <row r="163" ht="15.75" customHeight="1" s="45">
      <c r="A163" s="13" t="n"/>
      <c r="B163" s="13" t="n"/>
      <c r="C163" s="14" t="n"/>
      <c r="D163" s="47"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row>
    <row r="164" ht="15.75" customHeight="1" s="45">
      <c r="A164" s="13" t="n"/>
      <c r="B164" s="13" t="n"/>
      <c r="C164" s="14" t="n"/>
      <c r="D164" s="47"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row>
    <row r="165" ht="15.75" customHeight="1" s="45">
      <c r="A165" s="13" t="n"/>
      <c r="B165" s="13" t="n"/>
      <c r="C165" s="14" t="n"/>
      <c r="D165" s="47"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row>
    <row r="166" ht="15.75" customHeight="1" s="45">
      <c r="A166" s="13" t="n"/>
      <c r="B166" s="13" t="n"/>
      <c r="C166" s="14" t="n"/>
      <c r="D166" s="47"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row>
    <row r="167" ht="15.75" customHeight="1" s="45">
      <c r="A167" s="13" t="n"/>
      <c r="B167" s="13" t="n"/>
      <c r="C167" s="14" t="n"/>
      <c r="D167" s="47"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row>
    <row r="168" ht="15.75" customHeight="1" s="45">
      <c r="A168" s="13" t="n"/>
      <c r="B168" s="13" t="n"/>
      <c r="C168" s="14" t="n"/>
      <c r="D168" s="47"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row>
    <row r="169" ht="15.75" customHeight="1" s="45">
      <c r="A169" s="13" t="n"/>
      <c r="B169" s="13" t="n"/>
      <c r="C169" s="14" t="n"/>
      <c r="D169" s="47"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row>
    <row r="170" ht="15.75" customHeight="1" s="45">
      <c r="A170" s="13" t="n"/>
      <c r="B170" s="13" t="n"/>
      <c r="C170" s="14" t="n"/>
      <c r="D170" s="47"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row>
    <row r="171" ht="15.75" customHeight="1" s="45">
      <c r="A171" s="13" t="n"/>
      <c r="B171" s="13" t="n"/>
      <c r="C171" s="14" t="n"/>
      <c r="D171" s="47"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row>
    <row r="172" ht="15.75" customHeight="1" s="45">
      <c r="A172" s="13" t="n"/>
      <c r="B172" s="13" t="n"/>
      <c r="C172" s="14" t="n"/>
      <c r="D172" s="47"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row>
    <row r="173" ht="15.75" customHeight="1" s="45">
      <c r="A173" s="13" t="n"/>
      <c r="B173" s="13" t="n"/>
      <c r="C173" s="14" t="n"/>
      <c r="D173" s="47"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row>
    <row r="174" ht="15.75" customHeight="1" s="45">
      <c r="A174" s="13" t="n"/>
      <c r="B174" s="13" t="n"/>
      <c r="C174" s="14" t="n"/>
      <c r="D174" s="47"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row>
    <row r="175" ht="15.75" customHeight="1" s="45">
      <c r="A175" s="13" t="n"/>
      <c r="B175" s="13" t="n"/>
      <c r="C175" s="14" t="n"/>
      <c r="D175" s="47"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row>
    <row r="176" ht="15.75" customHeight="1" s="45">
      <c r="A176" s="13" t="n"/>
      <c r="B176" s="13" t="n"/>
      <c r="C176" s="14" t="n"/>
      <c r="D176" s="47"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row>
    <row r="177" ht="15.75" customHeight="1" s="45">
      <c r="A177" s="13" t="n"/>
      <c r="B177" s="13" t="n"/>
      <c r="C177" s="14" t="n"/>
      <c r="D177" s="47"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row>
    <row r="178" ht="15.75" customHeight="1" s="45">
      <c r="A178" s="13" t="n"/>
      <c r="B178" s="13" t="n"/>
      <c r="C178" s="14" t="n"/>
      <c r="D178" s="47"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row>
    <row r="179" ht="15.75" customHeight="1" s="45">
      <c r="A179" s="13" t="n"/>
      <c r="B179" s="13" t="n"/>
      <c r="C179" s="14" t="n"/>
      <c r="D179" s="47"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row>
    <row r="180" ht="15.75" customHeight="1" s="45">
      <c r="A180" s="13" t="n"/>
      <c r="B180" s="13" t="n"/>
      <c r="C180" s="14" t="n"/>
      <c r="D180" s="47"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row>
    <row r="181" ht="15.75" customHeight="1" s="45">
      <c r="A181" s="13" t="n"/>
      <c r="B181" s="13" t="n"/>
      <c r="C181" s="14" t="n"/>
      <c r="D181" s="47"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row>
    <row r="182" ht="15.75" customHeight="1" s="45">
      <c r="A182" s="13" t="n"/>
      <c r="B182" s="13" t="n"/>
      <c r="C182" s="14" t="n"/>
      <c r="D182" s="47"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row>
    <row r="183" ht="15.75" customHeight="1" s="45">
      <c r="A183" s="13" t="n"/>
      <c r="B183" s="13" t="n"/>
      <c r="C183" s="14" t="n"/>
      <c r="D183" s="47"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row>
    <row r="184" ht="15.75" customHeight="1" s="45">
      <c r="A184" s="13" t="n"/>
      <c r="B184" s="13" t="n"/>
      <c r="C184" s="14" t="n"/>
      <c r="D184" s="47"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row>
    <row r="185" ht="15.75" customHeight="1" s="45">
      <c r="A185" s="13" t="n"/>
      <c r="B185" s="13" t="n"/>
      <c r="C185" s="14" t="n"/>
      <c r="D185" s="47"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row>
    <row r="186" ht="15.75" customHeight="1" s="45">
      <c r="A186" s="13" t="n"/>
      <c r="B186" s="13" t="n"/>
      <c r="C186" s="14" t="n"/>
      <c r="D186" s="47"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row>
    <row r="187" ht="15.75" customHeight="1" s="45">
      <c r="A187" s="13" t="n"/>
      <c r="B187" s="13" t="n"/>
      <c r="C187" s="14" t="n"/>
      <c r="D187" s="47"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row>
    <row r="188" ht="15.75" customHeight="1" s="45">
      <c r="A188" s="13" t="n"/>
      <c r="B188" s="13" t="n"/>
      <c r="C188" s="14" t="n"/>
      <c r="D188" s="47"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row>
    <row r="189" ht="15.75" customHeight="1" s="45">
      <c r="A189" s="13" t="n"/>
      <c r="B189" s="13" t="n"/>
      <c r="C189" s="14" t="n"/>
      <c r="D189" s="47"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row>
    <row r="190" ht="15.75" customHeight="1" s="45">
      <c r="A190" s="13" t="n"/>
      <c r="B190" s="13" t="n"/>
      <c r="C190" s="14" t="n"/>
      <c r="D190" s="47"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row>
    <row r="191" ht="15.75" customHeight="1" s="45">
      <c r="A191" s="13" t="n"/>
      <c r="B191" s="13" t="n"/>
      <c r="C191" s="14" t="n"/>
      <c r="D191" s="47"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row>
    <row r="192" ht="15.75" customHeight="1" s="45">
      <c r="A192" s="13" t="n"/>
      <c r="B192" s="13" t="n"/>
      <c r="C192" s="14" t="n"/>
      <c r="D192" s="47"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row>
    <row r="193" ht="15.75" customHeight="1" s="45">
      <c r="A193" s="13" t="n"/>
      <c r="B193" s="13" t="n"/>
      <c r="C193" s="14" t="n"/>
      <c r="D193" s="47"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row>
    <row r="194" ht="15.75" customHeight="1" s="45">
      <c r="A194" s="13" t="n"/>
      <c r="B194" s="13" t="n"/>
      <c r="C194" s="14" t="n"/>
      <c r="D194" s="47"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row>
    <row r="195" ht="15.75" customHeight="1" s="45">
      <c r="A195" s="13" t="n"/>
      <c r="B195" s="13" t="n"/>
      <c r="C195" s="14" t="n"/>
      <c r="D195" s="47"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row>
    <row r="196" ht="15.75" customHeight="1" s="45">
      <c r="A196" s="13" t="n"/>
      <c r="B196" s="13" t="n"/>
      <c r="C196" s="14" t="n"/>
      <c r="D196" s="47"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row>
    <row r="197" ht="15.75" customHeight="1" s="45">
      <c r="A197" s="13" t="n"/>
      <c r="B197" s="13" t="n"/>
      <c r="C197" s="14" t="n"/>
      <c r="D197" s="47"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row>
    <row r="198" ht="15.75" customHeight="1" s="45">
      <c r="A198" s="13" t="n"/>
      <c r="B198" s="13" t="n"/>
      <c r="C198" s="14" t="n"/>
      <c r="D198" s="47"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row>
    <row r="199" ht="15.75" customHeight="1" s="45">
      <c r="A199" s="13" t="n"/>
      <c r="B199" s="13" t="n"/>
      <c r="C199" s="14" t="n"/>
      <c r="D199" s="47"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row>
    <row r="200" ht="15.75" customHeight="1" s="45">
      <c r="A200" s="13" t="n"/>
      <c r="B200" s="13" t="n"/>
      <c r="C200" s="14" t="n"/>
      <c r="D200" s="47"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row>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dataValidations count="13">
    <dataValidation sqref="K3:L200 O3:P200 T3:T200" showDropDown="0" showInputMessage="1" showErrorMessage="1" allowBlank="1" prompt="Dato inválido - Valor no permitido. Revise el Diccionario." type="decimal">
      <formula1>1.0</formula1>
      <formula2>5.0</formula2>
    </dataValidation>
    <dataValidation sqref="N3:N200" showDropDown="0" showInputMessage="1" showErrorMessage="1" allowBlank="1" prompt="Dato inválido - Valor no permitido. Revise el Diccionario." type="list">
      <formula1>"1,2,3,4,5"</formula1>
    </dataValidation>
    <dataValidation sqref="S3:S200" showDropDown="0" showInputMessage="1" showErrorMessage="1" allowBlank="1" prompt="Dato inválido - Valor no permitido. Revise el Diccionario." type="decimal">
      <formula1>0.0</formula1>
      <formula2>10.0</formula2>
    </dataValidation>
    <dataValidation sqref="H3:H200" showDropDown="0" showInputMessage="1" showErrorMessage="1" allowBlank="1" prompt="Dato inválido - Valor no permitido. Revise el Diccionario." type="list">
      <formula1>Listas!$H$2:$H$6</formula1>
    </dataValidation>
    <dataValidation sqref="E3:E200" showDropDown="0" showInputMessage="1" showErrorMessage="1" allowBlank="1" prompt="Dato inválido - Valor no permitido. Revise el Diccionario." type="list">
      <formula1>Listas!$F$2:$F$4</formula1>
    </dataValidation>
    <dataValidation sqref="G3:G200" showDropDown="0" showInputMessage="1" showErrorMessage="1" allowBlank="1" prompt="Dato inválido - Valor no permitido. Revise el Diccionario." type="list">
      <formula1>Listas!$G$2:$G$5</formula1>
    </dataValidation>
    <dataValidation sqref="U3:U200" showDropDown="0" showInputMessage="1" showErrorMessage="1" allowBlank="1" prompt="Dato inválido - Valor no permitido. Revise el Diccionario." type="list">
      <formula1>Listas!$K$2:$K$5</formula1>
    </dataValidation>
    <dataValidation sqref="B3:B200" showDropDown="0" showInputMessage="1" showErrorMessage="1" allowBlank="1" prompt="Dato inválido - Valor no permitido. Revise el Diccionario." type="list">
      <formula1>Muestra_Cafes!$A$2:$A$15</formula1>
    </dataValidation>
    <dataValidation sqref="I3:I200" showDropDown="0" showInputMessage="1" showErrorMessage="1" allowBlank="1" prompt="Dato inválido - Valor no permitido. Revise el Diccionario." type="list">
      <formula1>Listas!$I$2:$I$6</formula1>
    </dataValidation>
    <dataValidation sqref="V3:V200" showDropDown="0" showInputMessage="1" showErrorMessage="1" allowBlank="1" prompt="Dato inválido - Valor no permitido. Revise el Diccionario." type="list">
      <formula1>Listas!$L$2:$L$4</formula1>
    </dataValidation>
    <dataValidation sqref="F3:F200 Q3:R200" showDropDown="0" showInputMessage="1" showErrorMessage="1" allowBlank="1" prompt="Dato inválido - Valor no permitido. Revise el Diccionario." type="list">
      <formula1>"0,1"</formula1>
    </dataValidation>
    <dataValidation sqref="J3:J200" showDropDown="0" showInputMessage="0" showErrorMessage="1" allowBlank="1" errorTitle="Valor no permitido" error="Use una de las opciones del menú desplegable." type="list" errorStyle="stop">
      <formula1>Listas!$P$2:$P$5</formula1>
    </dataValidation>
    <dataValidation sqref="M3:M200" showDropDown="0" showInputMessage="0" showErrorMessage="1" allowBlank="1" errorTitle="Valor no permitido" error="Use una de las opciones del menú desplegable." type="list" errorStyle="stop">
      <formula1>"0,1"</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I3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style="45" min="1" max="1"/>
    <col width="11" customWidth="1" style="45" min="2" max="2"/>
    <col width="12" customWidth="1" style="45" min="3" max="3"/>
    <col width="8" customWidth="1" style="45" min="4" max="4"/>
    <col width="12" customWidth="1" style="45" min="5" max="5"/>
    <col width="30" customWidth="1" style="45" min="6" max="6"/>
    <col width="28" customWidth="1" style="45" min="7" max="7"/>
    <col width="14" customWidth="1" style="45" min="8" max="8"/>
    <col width="46" customWidth="1" style="45" min="9" max="9"/>
  </cols>
  <sheetData>
    <row r="1">
      <c r="A1" s="48" t="inlineStr">
        <is>
          <t>ab_id</t>
        </is>
      </c>
      <c r="B1" s="48" t="inlineStr">
        <is>
          <t>cafe_id</t>
        </is>
      </c>
      <c r="C1" s="48" t="inlineStr">
        <is>
          <t>fecha</t>
        </is>
      </c>
      <c r="D1" s="48" t="inlineStr">
        <is>
          <t>hora</t>
        </is>
      </c>
      <c r="E1" s="48" t="inlineStr">
        <is>
          <t>encuestador</t>
        </is>
      </c>
      <c r="F1" s="48" t="inlineStr">
        <is>
          <t>resultado</t>
        </is>
      </c>
      <c r="G1" s="48" t="inlineStr">
        <is>
          <t>motivo_rechazo</t>
        </is>
      </c>
      <c r="H1" s="48" t="inlineStr">
        <is>
          <t>enc_id</t>
        </is>
      </c>
      <c r="I1" s="48" t="inlineStr">
        <is>
          <t>obs_abordaje</t>
        </is>
      </c>
    </row>
    <row r="2">
      <c r="A2" s="49" t="inlineStr">
        <is>
          <t>EJEMPLO</t>
        </is>
      </c>
      <c r="B2" s="49" t="inlineStr">
        <is>
          <t>EJEMPLO</t>
        </is>
      </c>
      <c r="C2" s="50" t="n">
        <v>46340</v>
      </c>
      <c r="D2" s="49" t="inlineStr">
        <is>
          <t>09:35</t>
        </is>
      </c>
      <c r="E2" s="49" t="inlineStr">
        <is>
          <t>A</t>
        </is>
      </c>
      <c r="F2" s="49" t="inlineStr">
        <is>
          <t>Rechazó</t>
        </is>
      </c>
      <c r="G2" s="49" t="inlineStr">
        <is>
          <t>Sin tiempo</t>
        </is>
      </c>
      <c r="H2" s="49" t="n"/>
      <c r="I2" s="49" t="inlineStr">
        <is>
          <t>Ejemplo de formato: un rechazo también se registra</t>
        </is>
      </c>
    </row>
    <row r="3">
      <c r="C3" s="51" t="n"/>
      <c r="D3" s="52" t="n"/>
    </row>
    <row r="4">
      <c r="C4" s="51" t="n"/>
      <c r="D4" s="52" t="n"/>
    </row>
    <row r="5">
      <c r="C5" s="51" t="n"/>
      <c r="D5" s="52" t="n"/>
    </row>
    <row r="6">
      <c r="C6" s="51" t="n"/>
      <c r="D6" s="52" t="n"/>
    </row>
    <row r="7">
      <c r="C7" s="51" t="n"/>
      <c r="D7" s="52" t="n"/>
    </row>
    <row r="8">
      <c r="C8" s="51" t="n"/>
      <c r="D8" s="52" t="n"/>
    </row>
    <row r="9">
      <c r="C9" s="51" t="n"/>
      <c r="D9" s="52" t="n"/>
    </row>
    <row r="10">
      <c r="C10" s="51" t="n"/>
      <c r="D10" s="52" t="n"/>
    </row>
    <row r="11">
      <c r="C11" s="51" t="n"/>
      <c r="D11" s="52" t="n"/>
    </row>
    <row r="12">
      <c r="C12" s="51" t="n"/>
      <c r="D12" s="52" t="n"/>
    </row>
    <row r="13">
      <c r="C13" s="51" t="n"/>
      <c r="D13" s="52" t="n"/>
    </row>
    <row r="14">
      <c r="C14" s="51" t="n"/>
      <c r="D14" s="52" t="n"/>
    </row>
    <row r="15">
      <c r="C15" s="51" t="n"/>
      <c r="D15" s="52" t="n"/>
    </row>
    <row r="16">
      <c r="C16" s="51" t="n"/>
      <c r="D16" s="52" t="n"/>
    </row>
    <row r="17">
      <c r="C17" s="51" t="n"/>
      <c r="D17" s="52" t="n"/>
    </row>
    <row r="18">
      <c r="C18" s="51" t="n"/>
      <c r="D18" s="52" t="n"/>
    </row>
    <row r="19">
      <c r="C19" s="51" t="n"/>
      <c r="D19" s="52" t="n"/>
    </row>
    <row r="20">
      <c r="C20" s="51" t="n"/>
      <c r="D20" s="52" t="n"/>
    </row>
    <row r="21">
      <c r="C21" s="51" t="n"/>
      <c r="D21" s="52" t="n"/>
    </row>
    <row r="22">
      <c r="C22" s="51" t="n"/>
      <c r="D22" s="52" t="n"/>
    </row>
    <row r="23">
      <c r="C23" s="51" t="n"/>
      <c r="D23" s="52" t="n"/>
    </row>
    <row r="24">
      <c r="C24" s="51" t="n"/>
      <c r="D24" s="52" t="n"/>
    </row>
    <row r="25">
      <c r="C25" s="51" t="n"/>
      <c r="D25" s="52" t="n"/>
    </row>
    <row r="26">
      <c r="C26" s="51" t="n"/>
      <c r="D26" s="52" t="n"/>
    </row>
    <row r="27">
      <c r="C27" s="51" t="n"/>
      <c r="D27" s="52" t="n"/>
    </row>
    <row r="28">
      <c r="C28" s="51" t="n"/>
      <c r="D28" s="52" t="n"/>
    </row>
    <row r="29">
      <c r="C29" s="51" t="n"/>
      <c r="D29" s="52" t="n"/>
    </row>
    <row r="30">
      <c r="C30" s="51" t="n"/>
      <c r="D30" s="52" t="n"/>
    </row>
    <row r="31">
      <c r="C31" s="51" t="n"/>
      <c r="D31" s="52" t="n"/>
    </row>
    <row r="32">
      <c r="C32" s="51" t="n"/>
      <c r="D32" s="52" t="n"/>
    </row>
    <row r="33">
      <c r="C33" s="51" t="n"/>
      <c r="D33" s="52" t="n"/>
    </row>
    <row r="34">
      <c r="C34" s="51" t="n"/>
      <c r="D34" s="52" t="n"/>
    </row>
    <row r="35">
      <c r="C35" s="51" t="n"/>
      <c r="D35" s="52" t="n"/>
    </row>
    <row r="36">
      <c r="C36" s="51" t="n"/>
      <c r="D36" s="52" t="n"/>
    </row>
    <row r="37">
      <c r="C37" s="51" t="n"/>
      <c r="D37" s="52" t="n"/>
    </row>
    <row r="38">
      <c r="C38" s="51" t="n"/>
      <c r="D38" s="52" t="n"/>
    </row>
    <row r="39">
      <c r="C39" s="51" t="n"/>
      <c r="D39" s="52" t="n"/>
    </row>
    <row r="40">
      <c r="C40" s="51" t="n"/>
      <c r="D40" s="52" t="n"/>
    </row>
    <row r="41">
      <c r="C41" s="51" t="n"/>
      <c r="D41" s="52" t="n"/>
    </row>
    <row r="42">
      <c r="C42" s="51" t="n"/>
      <c r="D42" s="52" t="n"/>
    </row>
    <row r="43">
      <c r="C43" s="51" t="n"/>
      <c r="D43" s="52" t="n"/>
    </row>
    <row r="44">
      <c r="C44" s="51" t="n"/>
      <c r="D44" s="52" t="n"/>
    </row>
    <row r="45">
      <c r="C45" s="51" t="n"/>
      <c r="D45" s="52" t="n"/>
    </row>
    <row r="46">
      <c r="C46" s="51" t="n"/>
      <c r="D46" s="52" t="n"/>
    </row>
    <row r="47">
      <c r="C47" s="51" t="n"/>
      <c r="D47" s="52" t="n"/>
    </row>
    <row r="48">
      <c r="C48" s="51" t="n"/>
      <c r="D48" s="52" t="n"/>
    </row>
    <row r="49">
      <c r="C49" s="51" t="n"/>
      <c r="D49" s="52" t="n"/>
    </row>
    <row r="50">
      <c r="C50" s="51" t="n"/>
      <c r="D50" s="52" t="n"/>
    </row>
    <row r="51">
      <c r="C51" s="51" t="n"/>
      <c r="D51" s="52" t="n"/>
    </row>
    <row r="52">
      <c r="C52" s="51" t="n"/>
      <c r="D52" s="52" t="n"/>
    </row>
    <row r="53">
      <c r="C53" s="51" t="n"/>
      <c r="D53" s="52" t="n"/>
    </row>
    <row r="54">
      <c r="C54" s="51" t="n"/>
      <c r="D54" s="52" t="n"/>
    </row>
    <row r="55">
      <c r="C55" s="51" t="n"/>
      <c r="D55" s="52" t="n"/>
    </row>
    <row r="56">
      <c r="C56" s="51" t="n"/>
      <c r="D56" s="52" t="n"/>
    </row>
    <row r="57">
      <c r="C57" s="51" t="n"/>
      <c r="D57" s="52" t="n"/>
    </row>
    <row r="58">
      <c r="C58" s="51" t="n"/>
      <c r="D58" s="52" t="n"/>
    </row>
    <row r="59">
      <c r="C59" s="51" t="n"/>
      <c r="D59" s="52" t="n"/>
    </row>
    <row r="60">
      <c r="C60" s="51" t="n"/>
      <c r="D60" s="52" t="n"/>
    </row>
    <row r="61">
      <c r="C61" s="51" t="n"/>
      <c r="D61" s="52" t="n"/>
    </row>
    <row r="62">
      <c r="C62" s="51" t="n"/>
      <c r="D62" s="52" t="n"/>
    </row>
    <row r="63">
      <c r="C63" s="51" t="n"/>
      <c r="D63" s="52" t="n"/>
    </row>
    <row r="64">
      <c r="C64" s="51" t="n"/>
      <c r="D64" s="52" t="n"/>
    </row>
    <row r="65">
      <c r="C65" s="51" t="n"/>
      <c r="D65" s="52" t="n"/>
    </row>
    <row r="66">
      <c r="C66" s="51" t="n"/>
      <c r="D66" s="52" t="n"/>
    </row>
    <row r="67">
      <c r="C67" s="51" t="n"/>
      <c r="D67" s="52" t="n"/>
    </row>
    <row r="68">
      <c r="C68" s="51" t="n"/>
      <c r="D68" s="52" t="n"/>
    </row>
    <row r="69">
      <c r="C69" s="51" t="n"/>
      <c r="D69" s="52" t="n"/>
    </row>
    <row r="70">
      <c r="C70" s="51" t="n"/>
      <c r="D70" s="52" t="n"/>
    </row>
    <row r="71">
      <c r="C71" s="51" t="n"/>
      <c r="D71" s="52" t="n"/>
    </row>
    <row r="72">
      <c r="C72" s="51" t="n"/>
      <c r="D72" s="52" t="n"/>
    </row>
    <row r="73">
      <c r="C73" s="51" t="n"/>
      <c r="D73" s="52" t="n"/>
    </row>
    <row r="74">
      <c r="C74" s="51" t="n"/>
      <c r="D74" s="52" t="n"/>
    </row>
    <row r="75">
      <c r="C75" s="51" t="n"/>
      <c r="D75" s="52" t="n"/>
    </row>
    <row r="76">
      <c r="C76" s="51" t="n"/>
      <c r="D76" s="52" t="n"/>
    </row>
    <row r="77">
      <c r="C77" s="51" t="n"/>
      <c r="D77" s="52" t="n"/>
    </row>
    <row r="78">
      <c r="C78" s="51" t="n"/>
      <c r="D78" s="52" t="n"/>
    </row>
    <row r="79">
      <c r="C79" s="51" t="n"/>
      <c r="D79" s="52" t="n"/>
    </row>
    <row r="80">
      <c r="C80" s="51" t="n"/>
      <c r="D80" s="52" t="n"/>
    </row>
    <row r="81">
      <c r="C81" s="51" t="n"/>
      <c r="D81" s="52" t="n"/>
    </row>
    <row r="82">
      <c r="C82" s="51" t="n"/>
      <c r="D82" s="52" t="n"/>
    </row>
    <row r="83">
      <c r="C83" s="51" t="n"/>
      <c r="D83" s="52" t="n"/>
    </row>
    <row r="84">
      <c r="C84" s="51" t="n"/>
      <c r="D84" s="52" t="n"/>
    </row>
    <row r="85">
      <c r="C85" s="51" t="n"/>
      <c r="D85" s="52" t="n"/>
    </row>
    <row r="86">
      <c r="C86" s="51" t="n"/>
      <c r="D86" s="52" t="n"/>
    </row>
    <row r="87">
      <c r="C87" s="51" t="n"/>
      <c r="D87" s="52" t="n"/>
    </row>
    <row r="88">
      <c r="C88" s="51" t="n"/>
      <c r="D88" s="52" t="n"/>
    </row>
    <row r="89">
      <c r="C89" s="51" t="n"/>
      <c r="D89" s="52" t="n"/>
    </row>
    <row r="90">
      <c r="C90" s="51" t="n"/>
      <c r="D90" s="52" t="n"/>
    </row>
    <row r="91">
      <c r="C91" s="51" t="n"/>
      <c r="D91" s="52" t="n"/>
    </row>
    <row r="92">
      <c r="C92" s="51" t="n"/>
      <c r="D92" s="52" t="n"/>
    </row>
    <row r="93">
      <c r="C93" s="51" t="n"/>
      <c r="D93" s="52" t="n"/>
    </row>
    <row r="94">
      <c r="C94" s="51" t="n"/>
      <c r="D94" s="52" t="n"/>
    </row>
    <row r="95">
      <c r="C95" s="51" t="n"/>
      <c r="D95" s="52" t="n"/>
    </row>
    <row r="96">
      <c r="C96" s="51" t="n"/>
      <c r="D96" s="52" t="n"/>
    </row>
    <row r="97">
      <c r="C97" s="51" t="n"/>
      <c r="D97" s="52" t="n"/>
    </row>
    <row r="98">
      <c r="C98" s="51" t="n"/>
      <c r="D98" s="52" t="n"/>
    </row>
    <row r="99">
      <c r="C99" s="51" t="n"/>
      <c r="D99" s="52" t="n"/>
    </row>
    <row r="100">
      <c r="C100" s="51" t="n"/>
      <c r="D100" s="52" t="n"/>
    </row>
    <row r="101">
      <c r="C101" s="51" t="n"/>
      <c r="D101" s="52" t="n"/>
    </row>
    <row r="102">
      <c r="C102" s="51" t="n"/>
      <c r="D102" s="52" t="n"/>
    </row>
    <row r="103">
      <c r="C103" s="51" t="n"/>
      <c r="D103" s="52" t="n"/>
    </row>
    <row r="104">
      <c r="C104" s="51" t="n"/>
      <c r="D104" s="52" t="n"/>
    </row>
    <row r="105">
      <c r="C105" s="51" t="n"/>
      <c r="D105" s="52" t="n"/>
    </row>
    <row r="106">
      <c r="C106" s="51" t="n"/>
      <c r="D106" s="52" t="n"/>
    </row>
    <row r="107">
      <c r="C107" s="51" t="n"/>
      <c r="D107" s="52" t="n"/>
    </row>
    <row r="108">
      <c r="C108" s="51" t="n"/>
      <c r="D108" s="52" t="n"/>
    </row>
    <row r="109">
      <c r="C109" s="51" t="n"/>
      <c r="D109" s="52" t="n"/>
    </row>
    <row r="110">
      <c r="C110" s="51" t="n"/>
      <c r="D110" s="52" t="n"/>
    </row>
    <row r="111">
      <c r="C111" s="51" t="n"/>
      <c r="D111" s="52" t="n"/>
    </row>
    <row r="112">
      <c r="C112" s="51" t="n"/>
      <c r="D112" s="52" t="n"/>
    </row>
    <row r="113">
      <c r="C113" s="51" t="n"/>
      <c r="D113" s="52" t="n"/>
    </row>
    <row r="114">
      <c r="C114" s="51" t="n"/>
      <c r="D114" s="52" t="n"/>
    </row>
    <row r="115">
      <c r="C115" s="51" t="n"/>
      <c r="D115" s="52" t="n"/>
    </row>
    <row r="116">
      <c r="C116" s="51" t="n"/>
      <c r="D116" s="52" t="n"/>
    </row>
    <row r="117">
      <c r="C117" s="51" t="n"/>
      <c r="D117" s="52" t="n"/>
    </row>
    <row r="118">
      <c r="C118" s="51" t="n"/>
      <c r="D118" s="52" t="n"/>
    </row>
    <row r="119">
      <c r="C119" s="51" t="n"/>
      <c r="D119" s="52" t="n"/>
    </row>
    <row r="120">
      <c r="C120" s="51" t="n"/>
      <c r="D120" s="52" t="n"/>
    </row>
    <row r="121">
      <c r="C121" s="51" t="n"/>
      <c r="D121" s="52" t="n"/>
    </row>
    <row r="122">
      <c r="C122" s="51" t="n"/>
      <c r="D122" s="52" t="n"/>
    </row>
    <row r="123">
      <c r="C123" s="51" t="n"/>
      <c r="D123" s="52" t="n"/>
    </row>
    <row r="124">
      <c r="C124" s="51" t="n"/>
      <c r="D124" s="52" t="n"/>
    </row>
    <row r="125">
      <c r="C125" s="51" t="n"/>
      <c r="D125" s="52" t="n"/>
    </row>
    <row r="126">
      <c r="C126" s="51" t="n"/>
      <c r="D126" s="52" t="n"/>
    </row>
    <row r="127">
      <c r="C127" s="51" t="n"/>
      <c r="D127" s="52" t="n"/>
    </row>
    <row r="128">
      <c r="C128" s="51" t="n"/>
      <c r="D128" s="52" t="n"/>
    </row>
    <row r="129">
      <c r="C129" s="51" t="n"/>
      <c r="D129" s="52" t="n"/>
    </row>
    <row r="130">
      <c r="C130" s="51" t="n"/>
      <c r="D130" s="52" t="n"/>
    </row>
    <row r="131">
      <c r="C131" s="51" t="n"/>
      <c r="D131" s="52" t="n"/>
    </row>
    <row r="132">
      <c r="C132" s="51" t="n"/>
      <c r="D132" s="52" t="n"/>
    </row>
    <row r="133">
      <c r="C133" s="51" t="n"/>
      <c r="D133" s="52" t="n"/>
    </row>
    <row r="134">
      <c r="C134" s="51" t="n"/>
      <c r="D134" s="52" t="n"/>
    </row>
    <row r="135">
      <c r="C135" s="51" t="n"/>
      <c r="D135" s="52" t="n"/>
    </row>
    <row r="136">
      <c r="C136" s="51" t="n"/>
      <c r="D136" s="52" t="n"/>
    </row>
    <row r="137">
      <c r="C137" s="51" t="n"/>
      <c r="D137" s="52" t="n"/>
    </row>
    <row r="138">
      <c r="C138" s="51" t="n"/>
      <c r="D138" s="52" t="n"/>
    </row>
    <row r="139">
      <c r="C139" s="51" t="n"/>
      <c r="D139" s="52" t="n"/>
    </row>
    <row r="140">
      <c r="C140" s="51" t="n"/>
      <c r="D140" s="52" t="n"/>
    </row>
    <row r="141">
      <c r="C141" s="51" t="n"/>
      <c r="D141" s="52" t="n"/>
    </row>
    <row r="142">
      <c r="C142" s="51" t="n"/>
      <c r="D142" s="52" t="n"/>
    </row>
    <row r="143">
      <c r="C143" s="51" t="n"/>
      <c r="D143" s="52" t="n"/>
    </row>
    <row r="144">
      <c r="C144" s="51" t="n"/>
      <c r="D144" s="52" t="n"/>
    </row>
    <row r="145">
      <c r="C145" s="51" t="n"/>
      <c r="D145" s="52" t="n"/>
    </row>
    <row r="146">
      <c r="C146" s="51" t="n"/>
      <c r="D146" s="52" t="n"/>
    </row>
    <row r="147">
      <c r="C147" s="51" t="n"/>
      <c r="D147" s="52" t="n"/>
    </row>
    <row r="148">
      <c r="C148" s="51" t="n"/>
      <c r="D148" s="52" t="n"/>
    </row>
    <row r="149">
      <c r="C149" s="51" t="n"/>
      <c r="D149" s="52" t="n"/>
    </row>
    <row r="150">
      <c r="C150" s="51" t="n"/>
      <c r="D150" s="52" t="n"/>
    </row>
    <row r="151">
      <c r="C151" s="51" t="n"/>
      <c r="D151" s="52" t="n"/>
    </row>
    <row r="152">
      <c r="C152" s="51" t="n"/>
      <c r="D152" s="52" t="n"/>
    </row>
    <row r="153">
      <c r="C153" s="51" t="n"/>
      <c r="D153" s="52" t="n"/>
    </row>
    <row r="154">
      <c r="C154" s="51" t="n"/>
      <c r="D154" s="52" t="n"/>
    </row>
    <row r="155">
      <c r="C155" s="51" t="n"/>
      <c r="D155" s="52" t="n"/>
    </row>
    <row r="156">
      <c r="C156" s="51" t="n"/>
      <c r="D156" s="52" t="n"/>
    </row>
    <row r="157">
      <c r="C157" s="51" t="n"/>
      <c r="D157" s="52" t="n"/>
    </row>
    <row r="158">
      <c r="C158" s="51" t="n"/>
      <c r="D158" s="52" t="n"/>
    </row>
    <row r="159">
      <c r="C159" s="51" t="n"/>
      <c r="D159" s="52" t="n"/>
    </row>
    <row r="160">
      <c r="C160" s="51" t="n"/>
      <c r="D160" s="52" t="n"/>
    </row>
    <row r="161">
      <c r="C161" s="51" t="n"/>
      <c r="D161" s="52" t="n"/>
    </row>
    <row r="162">
      <c r="C162" s="51" t="n"/>
      <c r="D162" s="52" t="n"/>
    </row>
    <row r="163">
      <c r="C163" s="51" t="n"/>
      <c r="D163" s="52" t="n"/>
    </row>
    <row r="164">
      <c r="C164" s="51" t="n"/>
      <c r="D164" s="52" t="n"/>
    </row>
    <row r="165">
      <c r="C165" s="51" t="n"/>
      <c r="D165" s="52" t="n"/>
    </row>
    <row r="166">
      <c r="C166" s="51" t="n"/>
      <c r="D166" s="52" t="n"/>
    </row>
    <row r="167">
      <c r="C167" s="51" t="n"/>
      <c r="D167" s="52" t="n"/>
    </row>
    <row r="168">
      <c r="C168" s="51" t="n"/>
      <c r="D168" s="52" t="n"/>
    </row>
    <row r="169">
      <c r="C169" s="51" t="n"/>
      <c r="D169" s="52" t="n"/>
    </row>
    <row r="170">
      <c r="C170" s="51" t="n"/>
      <c r="D170" s="52" t="n"/>
    </row>
    <row r="171">
      <c r="C171" s="51" t="n"/>
      <c r="D171" s="52" t="n"/>
    </row>
    <row r="172">
      <c r="C172" s="51" t="n"/>
      <c r="D172" s="52" t="n"/>
    </row>
    <row r="173">
      <c r="C173" s="51" t="n"/>
      <c r="D173" s="52" t="n"/>
    </row>
    <row r="174">
      <c r="C174" s="51" t="n"/>
      <c r="D174" s="52" t="n"/>
    </row>
    <row r="175">
      <c r="C175" s="51" t="n"/>
      <c r="D175" s="52" t="n"/>
    </row>
    <row r="176">
      <c r="C176" s="51" t="n"/>
      <c r="D176" s="52" t="n"/>
    </row>
    <row r="177">
      <c r="C177" s="51" t="n"/>
      <c r="D177" s="52" t="n"/>
    </row>
    <row r="178">
      <c r="C178" s="51" t="n"/>
      <c r="D178" s="52" t="n"/>
    </row>
    <row r="179">
      <c r="C179" s="51" t="n"/>
      <c r="D179" s="52" t="n"/>
    </row>
    <row r="180">
      <c r="C180" s="51" t="n"/>
      <c r="D180" s="52" t="n"/>
    </row>
    <row r="181">
      <c r="C181" s="51" t="n"/>
      <c r="D181" s="52" t="n"/>
    </row>
    <row r="182">
      <c r="C182" s="51" t="n"/>
      <c r="D182" s="52" t="n"/>
    </row>
    <row r="183">
      <c r="C183" s="51" t="n"/>
      <c r="D183" s="52" t="n"/>
    </row>
    <row r="184">
      <c r="C184" s="51" t="n"/>
      <c r="D184" s="52" t="n"/>
    </row>
    <row r="185">
      <c r="C185" s="51" t="n"/>
      <c r="D185" s="52" t="n"/>
    </row>
    <row r="186">
      <c r="C186" s="51" t="n"/>
      <c r="D186" s="52" t="n"/>
    </row>
    <row r="187">
      <c r="C187" s="51" t="n"/>
      <c r="D187" s="52" t="n"/>
    </row>
    <row r="188">
      <c r="C188" s="51" t="n"/>
      <c r="D188" s="52" t="n"/>
    </row>
    <row r="189">
      <c r="C189" s="51" t="n"/>
      <c r="D189" s="52" t="n"/>
    </row>
    <row r="190">
      <c r="C190" s="51" t="n"/>
      <c r="D190" s="52" t="n"/>
    </row>
    <row r="191">
      <c r="C191" s="51" t="n"/>
      <c r="D191" s="52" t="n"/>
    </row>
    <row r="192">
      <c r="C192" s="51" t="n"/>
      <c r="D192" s="52" t="n"/>
    </row>
    <row r="193">
      <c r="C193" s="51" t="n"/>
      <c r="D193" s="52" t="n"/>
    </row>
    <row r="194">
      <c r="C194" s="51" t="n"/>
      <c r="D194" s="52" t="n"/>
    </row>
    <row r="195">
      <c r="C195" s="51" t="n"/>
      <c r="D195" s="52" t="n"/>
    </row>
    <row r="196">
      <c r="C196" s="51" t="n"/>
      <c r="D196" s="52" t="n"/>
    </row>
    <row r="197">
      <c r="C197" s="51" t="n"/>
      <c r="D197" s="52" t="n"/>
    </row>
    <row r="198">
      <c r="C198" s="51" t="n"/>
      <c r="D198" s="52" t="n"/>
    </row>
    <row r="199">
      <c r="C199" s="51" t="n"/>
      <c r="D199" s="52" t="n"/>
    </row>
    <row r="200">
      <c r="C200" s="51" t="n"/>
      <c r="D200" s="52" t="n"/>
    </row>
    <row r="201">
      <c r="C201" s="51" t="n"/>
      <c r="D201" s="52" t="n"/>
    </row>
    <row r="202">
      <c r="C202" s="51" t="n"/>
      <c r="D202" s="52" t="n"/>
    </row>
    <row r="203">
      <c r="C203" s="51" t="n"/>
      <c r="D203" s="52" t="n"/>
    </row>
    <row r="204">
      <c r="C204" s="51" t="n"/>
      <c r="D204" s="52" t="n"/>
    </row>
    <row r="205">
      <c r="C205" s="51" t="n"/>
      <c r="D205" s="52" t="n"/>
    </row>
    <row r="206">
      <c r="C206" s="51" t="n"/>
      <c r="D206" s="52" t="n"/>
    </row>
    <row r="207">
      <c r="C207" s="51" t="n"/>
      <c r="D207" s="52" t="n"/>
    </row>
    <row r="208">
      <c r="C208" s="51" t="n"/>
      <c r="D208" s="52" t="n"/>
    </row>
    <row r="209">
      <c r="C209" s="51" t="n"/>
      <c r="D209" s="52" t="n"/>
    </row>
    <row r="210">
      <c r="C210" s="51" t="n"/>
      <c r="D210" s="52" t="n"/>
    </row>
    <row r="211">
      <c r="C211" s="51" t="n"/>
      <c r="D211" s="52" t="n"/>
    </row>
    <row r="212">
      <c r="C212" s="51" t="n"/>
      <c r="D212" s="52" t="n"/>
    </row>
    <row r="213">
      <c r="C213" s="51" t="n"/>
      <c r="D213" s="52" t="n"/>
    </row>
    <row r="214">
      <c r="C214" s="51" t="n"/>
      <c r="D214" s="52" t="n"/>
    </row>
    <row r="215">
      <c r="C215" s="51" t="n"/>
      <c r="D215" s="52" t="n"/>
    </row>
    <row r="216">
      <c r="C216" s="51" t="n"/>
      <c r="D216" s="52" t="n"/>
    </row>
    <row r="217">
      <c r="C217" s="51" t="n"/>
      <c r="D217" s="52" t="n"/>
    </row>
    <row r="218">
      <c r="C218" s="51" t="n"/>
      <c r="D218" s="52" t="n"/>
    </row>
    <row r="219">
      <c r="C219" s="51" t="n"/>
      <c r="D219" s="52" t="n"/>
    </row>
    <row r="220">
      <c r="C220" s="51" t="n"/>
      <c r="D220" s="52" t="n"/>
    </row>
    <row r="221">
      <c r="C221" s="51" t="n"/>
      <c r="D221" s="52" t="n"/>
    </row>
    <row r="222">
      <c r="C222" s="51" t="n"/>
      <c r="D222" s="52" t="n"/>
    </row>
    <row r="223">
      <c r="C223" s="51" t="n"/>
      <c r="D223" s="52" t="n"/>
    </row>
    <row r="224">
      <c r="C224" s="51" t="n"/>
      <c r="D224" s="52" t="n"/>
    </row>
    <row r="225">
      <c r="C225" s="51" t="n"/>
      <c r="D225" s="52" t="n"/>
    </row>
    <row r="226">
      <c r="C226" s="51" t="n"/>
      <c r="D226" s="52" t="n"/>
    </row>
    <row r="227">
      <c r="C227" s="51" t="n"/>
      <c r="D227" s="52" t="n"/>
    </row>
    <row r="228">
      <c r="C228" s="51" t="n"/>
      <c r="D228" s="52" t="n"/>
    </row>
    <row r="229">
      <c r="C229" s="51" t="n"/>
      <c r="D229" s="52" t="n"/>
    </row>
    <row r="230">
      <c r="C230" s="51" t="n"/>
      <c r="D230" s="52" t="n"/>
    </row>
    <row r="231">
      <c r="C231" s="51" t="n"/>
      <c r="D231" s="52" t="n"/>
    </row>
    <row r="232">
      <c r="C232" s="51" t="n"/>
      <c r="D232" s="52" t="n"/>
    </row>
    <row r="233">
      <c r="C233" s="51" t="n"/>
      <c r="D233" s="52" t="n"/>
    </row>
    <row r="234">
      <c r="C234" s="51" t="n"/>
      <c r="D234" s="52" t="n"/>
    </row>
    <row r="235">
      <c r="C235" s="51" t="n"/>
      <c r="D235" s="52" t="n"/>
    </row>
    <row r="236">
      <c r="C236" s="51" t="n"/>
      <c r="D236" s="52" t="n"/>
    </row>
    <row r="237">
      <c r="C237" s="51" t="n"/>
      <c r="D237" s="52" t="n"/>
    </row>
    <row r="238">
      <c r="C238" s="51" t="n"/>
      <c r="D238" s="52" t="n"/>
    </row>
    <row r="239">
      <c r="C239" s="51" t="n"/>
      <c r="D239" s="52" t="n"/>
    </row>
    <row r="240">
      <c r="C240" s="51" t="n"/>
      <c r="D240" s="52" t="n"/>
    </row>
    <row r="241">
      <c r="C241" s="51" t="n"/>
      <c r="D241" s="52" t="n"/>
    </row>
    <row r="242">
      <c r="C242" s="51" t="n"/>
      <c r="D242" s="52" t="n"/>
    </row>
    <row r="243">
      <c r="C243" s="51" t="n"/>
      <c r="D243" s="52" t="n"/>
    </row>
    <row r="244">
      <c r="C244" s="51" t="n"/>
      <c r="D244" s="52" t="n"/>
    </row>
    <row r="245">
      <c r="C245" s="51" t="n"/>
      <c r="D245" s="52" t="n"/>
    </row>
    <row r="246">
      <c r="C246" s="51" t="n"/>
      <c r="D246" s="52" t="n"/>
    </row>
    <row r="247">
      <c r="C247" s="51" t="n"/>
      <c r="D247" s="52" t="n"/>
    </row>
    <row r="248">
      <c r="C248" s="51" t="n"/>
      <c r="D248" s="52" t="n"/>
    </row>
    <row r="249">
      <c r="C249" s="51" t="n"/>
      <c r="D249" s="52" t="n"/>
    </row>
    <row r="250">
      <c r="C250" s="51" t="n"/>
      <c r="D250" s="52" t="n"/>
    </row>
    <row r="251">
      <c r="C251" s="51" t="n"/>
      <c r="D251" s="52" t="n"/>
    </row>
    <row r="252">
      <c r="C252" s="51" t="n"/>
      <c r="D252" s="52" t="n"/>
    </row>
    <row r="253">
      <c r="C253" s="51" t="n"/>
      <c r="D253" s="52" t="n"/>
    </row>
    <row r="254">
      <c r="C254" s="51" t="n"/>
      <c r="D254" s="52" t="n"/>
    </row>
    <row r="255">
      <c r="C255" s="51" t="n"/>
      <c r="D255" s="52" t="n"/>
    </row>
    <row r="256">
      <c r="C256" s="51" t="n"/>
      <c r="D256" s="52" t="n"/>
    </row>
    <row r="257">
      <c r="C257" s="51" t="n"/>
      <c r="D257" s="52" t="n"/>
    </row>
    <row r="258">
      <c r="C258" s="51" t="n"/>
      <c r="D258" s="52" t="n"/>
    </row>
    <row r="259">
      <c r="C259" s="51" t="n"/>
      <c r="D259" s="52" t="n"/>
    </row>
    <row r="260">
      <c r="C260" s="51" t="n"/>
      <c r="D260" s="52" t="n"/>
    </row>
    <row r="261">
      <c r="C261" s="51" t="n"/>
      <c r="D261" s="52" t="n"/>
    </row>
    <row r="262">
      <c r="C262" s="51" t="n"/>
      <c r="D262" s="52" t="n"/>
    </row>
    <row r="263">
      <c r="C263" s="51" t="n"/>
      <c r="D263" s="52" t="n"/>
    </row>
    <row r="264">
      <c r="C264" s="51" t="n"/>
      <c r="D264" s="52" t="n"/>
    </row>
    <row r="265">
      <c r="C265" s="51" t="n"/>
      <c r="D265" s="52" t="n"/>
    </row>
    <row r="266">
      <c r="C266" s="51" t="n"/>
      <c r="D266" s="52" t="n"/>
    </row>
    <row r="267">
      <c r="C267" s="51" t="n"/>
      <c r="D267" s="52" t="n"/>
    </row>
    <row r="268">
      <c r="C268" s="51" t="n"/>
      <c r="D268" s="52" t="n"/>
    </row>
    <row r="269">
      <c r="C269" s="51" t="n"/>
      <c r="D269" s="52" t="n"/>
    </row>
    <row r="270">
      <c r="C270" s="51" t="n"/>
      <c r="D270" s="52" t="n"/>
    </row>
    <row r="271">
      <c r="C271" s="51" t="n"/>
      <c r="D271" s="52" t="n"/>
    </row>
    <row r="272">
      <c r="C272" s="51" t="n"/>
      <c r="D272" s="52" t="n"/>
    </row>
    <row r="273">
      <c r="C273" s="51" t="n"/>
      <c r="D273" s="52" t="n"/>
    </row>
    <row r="274">
      <c r="C274" s="51" t="n"/>
      <c r="D274" s="52" t="n"/>
    </row>
    <row r="275">
      <c r="C275" s="51" t="n"/>
      <c r="D275" s="52" t="n"/>
    </row>
    <row r="276">
      <c r="C276" s="51" t="n"/>
      <c r="D276" s="52" t="n"/>
    </row>
    <row r="277">
      <c r="C277" s="51" t="n"/>
      <c r="D277" s="52" t="n"/>
    </row>
    <row r="278">
      <c r="C278" s="51" t="n"/>
      <c r="D278" s="52" t="n"/>
    </row>
    <row r="279">
      <c r="C279" s="51" t="n"/>
      <c r="D279" s="52" t="n"/>
    </row>
    <row r="280">
      <c r="C280" s="51" t="n"/>
      <c r="D280" s="52" t="n"/>
    </row>
    <row r="281">
      <c r="C281" s="51" t="n"/>
      <c r="D281" s="52" t="n"/>
    </row>
    <row r="282">
      <c r="C282" s="51" t="n"/>
      <c r="D282" s="52" t="n"/>
    </row>
    <row r="283">
      <c r="C283" s="51" t="n"/>
      <c r="D283" s="52" t="n"/>
    </row>
    <row r="284">
      <c r="C284" s="51" t="n"/>
      <c r="D284" s="52" t="n"/>
    </row>
    <row r="285">
      <c r="C285" s="51" t="n"/>
      <c r="D285" s="52" t="n"/>
    </row>
    <row r="286">
      <c r="C286" s="51" t="n"/>
      <c r="D286" s="52" t="n"/>
    </row>
    <row r="287">
      <c r="C287" s="51" t="n"/>
      <c r="D287" s="52" t="n"/>
    </row>
    <row r="288">
      <c r="C288" s="51" t="n"/>
      <c r="D288" s="52" t="n"/>
    </row>
    <row r="289">
      <c r="C289" s="51" t="n"/>
      <c r="D289" s="52" t="n"/>
    </row>
    <row r="290">
      <c r="C290" s="51" t="n"/>
      <c r="D290" s="52" t="n"/>
    </row>
    <row r="291">
      <c r="C291" s="51" t="n"/>
      <c r="D291" s="52" t="n"/>
    </row>
    <row r="292">
      <c r="C292" s="51" t="n"/>
      <c r="D292" s="52" t="n"/>
    </row>
    <row r="293">
      <c r="C293" s="51" t="n"/>
      <c r="D293" s="52" t="n"/>
    </row>
    <row r="294">
      <c r="C294" s="51" t="n"/>
      <c r="D294" s="52" t="n"/>
    </row>
    <row r="295">
      <c r="C295" s="51" t="n"/>
      <c r="D295" s="52" t="n"/>
    </row>
    <row r="296">
      <c r="C296" s="51" t="n"/>
      <c r="D296" s="52" t="n"/>
    </row>
    <row r="297">
      <c r="C297" s="51" t="n"/>
      <c r="D297" s="52" t="n"/>
    </row>
    <row r="298">
      <c r="C298" s="51" t="n"/>
      <c r="D298" s="52" t="n"/>
    </row>
    <row r="299">
      <c r="C299" s="51" t="n"/>
      <c r="D299" s="52" t="n"/>
    </row>
    <row r="300">
      <c r="C300" s="51" t="n"/>
      <c r="D300" s="52" t="n"/>
    </row>
  </sheetData>
  <dataValidations count="4">
    <dataValidation sqref="B3:B300" showDropDown="0" showInputMessage="0" showErrorMessage="0" allowBlank="1" type="list">
      <formula1>Muestra_Cafes!$A$2:$A$15</formula1>
    </dataValidation>
    <dataValidation sqref="E3:E300" showDropDown="0" showInputMessage="0" showErrorMessage="0" allowBlank="1" type="list">
      <formula1>Listas!$F$2:$F$4</formula1>
    </dataValidation>
    <dataValidation sqref="F3:F300" showDropDown="0" showInputMessage="0" showErrorMessage="0" allowBlank="1" type="list">
      <formula1>Listas!$J$2:$J$5</formula1>
    </dataValidation>
    <dataValidation sqref="G3:G300" showDropDown="0" showInputMessage="0" showErrorMessage="0" allowBlank="1" type="list">
      <formula1>Listas!$N$2:$N$6</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45" min="1" max="1"/>
    <col width="16" customWidth="1" style="45" min="2" max="7"/>
    <col width="20" customWidth="1" style="45" min="8" max="26"/>
    <col width="15" customWidth="1" style="45" min="9" max="9"/>
  </cols>
  <sheetData>
    <row r="1">
      <c r="A1" s="20" t="inlineStr">
        <is>
          <t>cafe_id</t>
        </is>
      </c>
      <c r="B1" s="20" t="inlineStr">
        <is>
          <t>encuestas_hechas</t>
        </is>
      </c>
      <c r="C1" s="20" t="inlineStr">
        <is>
          <t>meta</t>
        </is>
      </c>
      <c r="D1" s="20" t="inlineStr">
        <is>
          <t>% avance</t>
        </is>
      </c>
      <c r="E1" s="20" t="inlineStr">
        <is>
          <t>ficha_lista</t>
        </is>
      </c>
      <c r="F1" s="20" t="inlineStr">
        <is>
          <t>idx_story</t>
        </is>
      </c>
      <c r="G1" s="20" t="inlineStr">
        <is>
          <t>idx_amb</t>
        </is>
      </c>
      <c r="H1" s="20" t="inlineStr">
        <is>
          <t>abordados_elegibles</t>
        </is>
      </c>
      <c r="I1" s="20" t="inlineStr">
        <is>
          <t>tasa_respuesta</t>
        </is>
      </c>
    </row>
    <row r="2">
      <c r="A2" s="13">
        <f>IF(Muestra_Cafes!A2="","",Muestra_Cafes!A2)</f>
        <v/>
      </c>
      <c r="B2" s="13">
        <f>IF($A2="","",COUNTIFS(Encuestas!$B$3:$B$200,$A2,Encuestas!$F$3:$F$200,1))</f>
        <v/>
      </c>
      <c r="C2" s="13">
        <f>IF($A2="","",Muestra_Cafes!M2)</f>
        <v/>
      </c>
      <c r="D2" s="23">
        <f>IF(OR($A2="",C2=0),"",MIN(1,B2/C2))</f>
        <v/>
      </c>
      <c r="E2" s="13">
        <f>IF($A2="","",IF(IFERROR(INDEX(Ficha_Cafe!$AE$3:$AE$31,MATCH($A2,Ficha_Cafe!$A$3:$A$31,0)),"")="Completa","Sí","No"))</f>
        <v/>
      </c>
      <c r="F2" s="13">
        <f>IF($A2="","",IFERROR(INDEX(Ficha_Cafe!$AA$3:$AA$31,MATCH($A2,Ficha_Cafe!$A$3:$A$31,0)),""))</f>
        <v/>
      </c>
      <c r="G2" s="13">
        <f>IF($A2="","",IFERROR(INDEX(Ficha_Cafe!$AB$3:$AB$31,MATCH($A2,Ficha_Cafe!$A$3:$A$31,0)),""))</f>
        <v/>
      </c>
      <c r="H2" s="13">
        <f>IF($A2="","",COUNTIFS(Abordajes!$B$3:$B$300,$A2)-COUNTIFS(Abordajes!$B$3:$B$300,$A2,Abordajes!$F$3:$F$300,"No elegible (menor de edad)"))</f>
        <v/>
      </c>
      <c r="I2" s="23">
        <f>IF(OR($A2="",H2=0),"",COUNTIFS(Abordajes!$B$3:$B$300,$A2,Abordajes!$F$3:$F$300,"Completó la encuesta")/H2)</f>
        <v/>
      </c>
    </row>
    <row r="3">
      <c r="A3" s="13">
        <f>IF(Muestra_Cafes!A3="","",Muestra_Cafes!A3)</f>
        <v/>
      </c>
      <c r="B3" s="13">
        <f>IF($A3="","",COUNTIFS(Encuestas!$B$3:$B$200,$A3,Encuestas!$F$3:$F$200,1))</f>
        <v/>
      </c>
      <c r="C3" s="13">
        <f>IF($A3="","",Muestra_Cafes!M3)</f>
        <v/>
      </c>
      <c r="D3" s="23">
        <f>IF(OR($A3="",C3=0),"",MIN(1,B3/C3))</f>
        <v/>
      </c>
      <c r="E3" s="13">
        <f>IF($A3="","",IF(IFERROR(INDEX(Ficha_Cafe!$AE$3:$AE$31,MATCH($A3,Ficha_Cafe!$A$3:$A$31,0)),"")="Completa","Sí","No"))</f>
        <v/>
      </c>
      <c r="F3" s="13">
        <f>IF($A3="","",IFERROR(INDEX(Ficha_Cafe!$AA$3:$AA$31,MATCH($A3,Ficha_Cafe!$A$3:$A$31,0)),""))</f>
        <v/>
      </c>
      <c r="G3" s="13">
        <f>IF($A3="","",IFERROR(INDEX(Ficha_Cafe!$AB$3:$AB$31,MATCH($A3,Ficha_Cafe!$A$3:$A$31,0)),""))</f>
        <v/>
      </c>
      <c r="H3" s="13">
        <f>IF($A3="","",COUNTIFS(Abordajes!$B$3:$B$300,$A3)-COUNTIFS(Abordajes!$B$3:$B$300,$A3,Abordajes!$F$3:$F$300,"No elegible (menor de edad)"))</f>
        <v/>
      </c>
      <c r="I3" s="23">
        <f>IF(OR($A3="",H3=0),"",COUNTIFS(Abordajes!$B$3:$B$300,$A3,Abordajes!$F$3:$F$300,"Completó la encuesta")/H3)</f>
        <v/>
      </c>
    </row>
    <row r="4">
      <c r="A4" s="13">
        <f>IF(Muestra_Cafes!A4="","",Muestra_Cafes!A4)</f>
        <v/>
      </c>
      <c r="B4" s="13">
        <f>IF($A4="","",COUNTIFS(Encuestas!$B$3:$B$200,$A4,Encuestas!$F$3:$F$200,1))</f>
        <v/>
      </c>
      <c r="C4" s="13">
        <f>IF($A4="","",Muestra_Cafes!M4)</f>
        <v/>
      </c>
      <c r="D4" s="23">
        <f>IF(OR($A4="",C4=0),"",MIN(1,B4/C4))</f>
        <v/>
      </c>
      <c r="E4" s="13">
        <f>IF($A4="","",IF(IFERROR(INDEX(Ficha_Cafe!$AE$3:$AE$31,MATCH($A4,Ficha_Cafe!$A$3:$A$31,0)),"")="Completa","Sí","No"))</f>
        <v/>
      </c>
      <c r="F4" s="13">
        <f>IF($A4="","",IFERROR(INDEX(Ficha_Cafe!$AA$3:$AA$31,MATCH($A4,Ficha_Cafe!$A$3:$A$31,0)),""))</f>
        <v/>
      </c>
      <c r="G4" s="13">
        <f>IF($A4="","",IFERROR(INDEX(Ficha_Cafe!$AB$3:$AB$31,MATCH($A4,Ficha_Cafe!$A$3:$A$31,0)),""))</f>
        <v/>
      </c>
      <c r="H4" s="13">
        <f>IF($A4="","",COUNTIFS(Abordajes!$B$3:$B$300,$A4)-COUNTIFS(Abordajes!$B$3:$B$300,$A4,Abordajes!$F$3:$F$300,"No elegible (menor de edad)"))</f>
        <v/>
      </c>
      <c r="I4" s="23">
        <f>IF(OR($A4="",H4=0),"",COUNTIFS(Abordajes!$B$3:$B$300,$A4,Abordajes!$F$3:$F$300,"Completó la encuesta")/H4)</f>
        <v/>
      </c>
    </row>
    <row r="5">
      <c r="A5" s="13">
        <f>IF(Muestra_Cafes!A5="","",Muestra_Cafes!A5)</f>
        <v/>
      </c>
      <c r="B5" s="13">
        <f>IF($A5="","",COUNTIFS(Encuestas!$B$3:$B$200,$A5,Encuestas!$F$3:$F$200,1))</f>
        <v/>
      </c>
      <c r="C5" s="13">
        <f>IF($A5="","",Muestra_Cafes!M5)</f>
        <v/>
      </c>
      <c r="D5" s="23">
        <f>IF(OR($A5="",C5=0),"",MIN(1,B5/C5))</f>
        <v/>
      </c>
      <c r="E5" s="13">
        <f>IF($A5="","",IF(IFERROR(INDEX(Ficha_Cafe!$AE$3:$AE$31,MATCH($A5,Ficha_Cafe!$A$3:$A$31,0)),"")="Completa","Sí","No"))</f>
        <v/>
      </c>
      <c r="F5" s="13">
        <f>IF($A5="","",IFERROR(INDEX(Ficha_Cafe!$AA$3:$AA$31,MATCH($A5,Ficha_Cafe!$A$3:$A$31,0)),""))</f>
        <v/>
      </c>
      <c r="G5" s="13">
        <f>IF($A5="","",IFERROR(INDEX(Ficha_Cafe!$AB$3:$AB$31,MATCH($A5,Ficha_Cafe!$A$3:$A$31,0)),""))</f>
        <v/>
      </c>
      <c r="H5" s="13">
        <f>IF($A5="","",COUNTIFS(Abordajes!$B$3:$B$300,$A5)-COUNTIFS(Abordajes!$B$3:$B$300,$A5,Abordajes!$F$3:$F$300,"No elegible (menor de edad)"))</f>
        <v/>
      </c>
      <c r="I5" s="23">
        <f>IF(OR($A5="",H5=0),"",COUNTIFS(Abordajes!$B$3:$B$300,$A5,Abordajes!$F$3:$F$300,"Completó la encuesta")/H5)</f>
        <v/>
      </c>
    </row>
    <row r="6">
      <c r="A6" s="13">
        <f>IF(Muestra_Cafes!A6="","",Muestra_Cafes!A6)</f>
        <v/>
      </c>
      <c r="B6" s="13">
        <f>IF($A6="","",COUNTIFS(Encuestas!$B$3:$B$200,$A6,Encuestas!$F$3:$F$200,1))</f>
        <v/>
      </c>
      <c r="C6" s="13">
        <f>IF($A6="","",Muestra_Cafes!M6)</f>
        <v/>
      </c>
      <c r="D6" s="23">
        <f>IF(OR($A6="",C6=0),"",MIN(1,B6/C6))</f>
        <v/>
      </c>
      <c r="E6" s="13">
        <f>IF($A6="","",IF(IFERROR(INDEX(Ficha_Cafe!$AE$3:$AE$31,MATCH($A6,Ficha_Cafe!$A$3:$A$31,0)),"")="Completa","Sí","No"))</f>
        <v/>
      </c>
      <c r="F6" s="13">
        <f>IF($A6="","",IFERROR(INDEX(Ficha_Cafe!$AA$3:$AA$31,MATCH($A6,Ficha_Cafe!$A$3:$A$31,0)),""))</f>
        <v/>
      </c>
      <c r="G6" s="13">
        <f>IF($A6="","",IFERROR(INDEX(Ficha_Cafe!$AB$3:$AB$31,MATCH($A6,Ficha_Cafe!$A$3:$A$31,0)),""))</f>
        <v/>
      </c>
      <c r="H6" s="13">
        <f>IF($A6="","",COUNTIFS(Abordajes!$B$3:$B$300,$A6)-COUNTIFS(Abordajes!$B$3:$B$300,$A6,Abordajes!$F$3:$F$300,"No elegible (menor de edad)"))</f>
        <v/>
      </c>
      <c r="I6" s="23">
        <f>IF(OR($A6="",H6=0),"",COUNTIFS(Abordajes!$B$3:$B$300,$A6,Abordajes!$F$3:$F$300,"Completó la encuesta")/H6)</f>
        <v/>
      </c>
    </row>
    <row r="7">
      <c r="A7" s="13">
        <f>IF(Muestra_Cafes!A7="","",Muestra_Cafes!A7)</f>
        <v/>
      </c>
      <c r="B7" s="13">
        <f>IF($A7="","",COUNTIFS(Encuestas!$B$3:$B$200,$A7,Encuestas!$F$3:$F$200,1))</f>
        <v/>
      </c>
      <c r="C7" s="13">
        <f>IF($A7="","",Muestra_Cafes!M7)</f>
        <v/>
      </c>
      <c r="D7" s="23">
        <f>IF(OR($A7="",C7=0),"",MIN(1,B7/C7))</f>
        <v/>
      </c>
      <c r="E7" s="13">
        <f>IF($A7="","",IF(IFERROR(INDEX(Ficha_Cafe!$AE$3:$AE$31,MATCH($A7,Ficha_Cafe!$A$3:$A$31,0)),"")="Completa","Sí","No"))</f>
        <v/>
      </c>
      <c r="F7" s="13">
        <f>IF($A7="","",IFERROR(INDEX(Ficha_Cafe!$AA$3:$AA$31,MATCH($A7,Ficha_Cafe!$A$3:$A$31,0)),""))</f>
        <v/>
      </c>
      <c r="G7" s="13">
        <f>IF($A7="","",IFERROR(INDEX(Ficha_Cafe!$AB$3:$AB$31,MATCH($A7,Ficha_Cafe!$A$3:$A$31,0)),""))</f>
        <v/>
      </c>
      <c r="H7" s="13">
        <f>IF($A7="","",COUNTIFS(Abordajes!$B$3:$B$300,$A7)-COUNTIFS(Abordajes!$B$3:$B$300,$A7,Abordajes!$F$3:$F$300,"No elegible (menor de edad)"))</f>
        <v/>
      </c>
      <c r="I7" s="23">
        <f>IF(OR($A7="",H7=0),"",COUNTIFS(Abordajes!$B$3:$B$300,$A7,Abordajes!$F$3:$F$300,"Completó la encuesta")/H7)</f>
        <v/>
      </c>
    </row>
    <row r="8">
      <c r="A8" s="13">
        <f>IF(Muestra_Cafes!A8="","",Muestra_Cafes!A8)</f>
        <v/>
      </c>
      <c r="B8" s="13">
        <f>IF($A8="","",COUNTIFS(Encuestas!$B$3:$B$200,$A8,Encuestas!$F$3:$F$200,1))</f>
        <v/>
      </c>
      <c r="C8" s="13">
        <f>IF($A8="","",Muestra_Cafes!M8)</f>
        <v/>
      </c>
      <c r="D8" s="23">
        <f>IF(OR($A8="",C8=0),"",MIN(1,B8/C8))</f>
        <v/>
      </c>
      <c r="E8" s="13">
        <f>IF($A8="","",IF(IFERROR(INDEX(Ficha_Cafe!$AE$3:$AE$31,MATCH($A8,Ficha_Cafe!$A$3:$A$31,0)),"")="Completa","Sí","No"))</f>
        <v/>
      </c>
      <c r="F8" s="13">
        <f>IF($A8="","",IFERROR(INDEX(Ficha_Cafe!$AA$3:$AA$31,MATCH($A8,Ficha_Cafe!$A$3:$A$31,0)),""))</f>
        <v/>
      </c>
      <c r="G8" s="13">
        <f>IF($A8="","",IFERROR(INDEX(Ficha_Cafe!$AB$3:$AB$31,MATCH($A8,Ficha_Cafe!$A$3:$A$31,0)),""))</f>
        <v/>
      </c>
      <c r="H8" s="13">
        <f>IF($A8="","",COUNTIFS(Abordajes!$B$3:$B$300,$A8)-COUNTIFS(Abordajes!$B$3:$B$300,$A8,Abordajes!$F$3:$F$300,"No elegible (menor de edad)"))</f>
        <v/>
      </c>
      <c r="I8" s="23">
        <f>IF(OR($A8="",H8=0),"",COUNTIFS(Abordajes!$B$3:$B$300,$A8,Abordajes!$F$3:$F$300,"Completó la encuesta")/H8)</f>
        <v/>
      </c>
    </row>
    <row r="9">
      <c r="A9" s="13">
        <f>IF(Muestra_Cafes!A9="","",Muestra_Cafes!A9)</f>
        <v/>
      </c>
      <c r="B9" s="13">
        <f>IF($A9="","",COUNTIFS(Encuestas!$B$3:$B$200,$A9,Encuestas!$F$3:$F$200,1))</f>
        <v/>
      </c>
      <c r="C9" s="13">
        <f>IF($A9="","",Muestra_Cafes!M9)</f>
        <v/>
      </c>
      <c r="D9" s="23">
        <f>IF(OR($A9="",C9=0),"",MIN(1,B9/C9))</f>
        <v/>
      </c>
      <c r="E9" s="13">
        <f>IF($A9="","",IF(IFERROR(INDEX(Ficha_Cafe!$AE$3:$AE$31,MATCH($A9,Ficha_Cafe!$A$3:$A$31,0)),"")="Completa","Sí","No"))</f>
        <v/>
      </c>
      <c r="F9" s="13">
        <f>IF($A9="","",IFERROR(INDEX(Ficha_Cafe!$AA$3:$AA$31,MATCH($A9,Ficha_Cafe!$A$3:$A$31,0)),""))</f>
        <v/>
      </c>
      <c r="G9" s="13">
        <f>IF($A9="","",IFERROR(INDEX(Ficha_Cafe!$AB$3:$AB$31,MATCH($A9,Ficha_Cafe!$A$3:$A$31,0)),""))</f>
        <v/>
      </c>
      <c r="H9" s="13">
        <f>IF($A9="","",COUNTIFS(Abordajes!$B$3:$B$300,$A9)-COUNTIFS(Abordajes!$B$3:$B$300,$A9,Abordajes!$F$3:$F$300,"No elegible (menor de edad)"))</f>
        <v/>
      </c>
      <c r="I9" s="23">
        <f>IF(OR($A9="",H9=0),"",COUNTIFS(Abordajes!$B$3:$B$300,$A9,Abordajes!$F$3:$F$300,"Completó la encuesta")/H9)</f>
        <v/>
      </c>
    </row>
    <row r="10">
      <c r="A10" s="13">
        <f>IF(Muestra_Cafes!A10="","",Muestra_Cafes!A10)</f>
        <v/>
      </c>
      <c r="B10" s="13">
        <f>IF($A10="","",COUNTIFS(Encuestas!$B$3:$B$200,$A10,Encuestas!$F$3:$F$200,1))</f>
        <v/>
      </c>
      <c r="C10" s="13">
        <f>IF($A10="","",Muestra_Cafes!M10)</f>
        <v/>
      </c>
      <c r="D10" s="23">
        <f>IF(OR($A10="",C10=0),"",MIN(1,B10/C10))</f>
        <v/>
      </c>
      <c r="E10" s="13">
        <f>IF($A10="","",IF(IFERROR(INDEX(Ficha_Cafe!$AE$3:$AE$31,MATCH($A10,Ficha_Cafe!$A$3:$A$31,0)),"")="Completa","Sí","No"))</f>
        <v/>
      </c>
      <c r="F10" s="13">
        <f>IF($A10="","",IFERROR(INDEX(Ficha_Cafe!$AA$3:$AA$31,MATCH($A10,Ficha_Cafe!$A$3:$A$31,0)),""))</f>
        <v/>
      </c>
      <c r="G10" s="13">
        <f>IF($A10="","",IFERROR(INDEX(Ficha_Cafe!$AB$3:$AB$31,MATCH($A10,Ficha_Cafe!$A$3:$A$31,0)),""))</f>
        <v/>
      </c>
      <c r="H10" s="13">
        <f>IF($A10="","",COUNTIFS(Abordajes!$B$3:$B$300,$A10)-COUNTIFS(Abordajes!$B$3:$B$300,$A10,Abordajes!$F$3:$F$300,"No elegible (menor de edad)"))</f>
        <v/>
      </c>
      <c r="I10" s="23">
        <f>IF(OR($A10="",H10=0),"",COUNTIFS(Abordajes!$B$3:$B$300,$A10,Abordajes!$F$3:$F$300,"Completó la encuesta")/H10)</f>
        <v/>
      </c>
    </row>
    <row r="11">
      <c r="A11" s="13">
        <f>IF(Muestra_Cafes!A11="","",Muestra_Cafes!A11)</f>
        <v/>
      </c>
      <c r="B11" s="13">
        <f>IF($A11="","",COUNTIFS(Encuestas!$B$3:$B$200,$A11,Encuestas!$F$3:$F$200,1))</f>
        <v/>
      </c>
      <c r="C11" s="13">
        <f>IF($A11="","",Muestra_Cafes!M11)</f>
        <v/>
      </c>
      <c r="D11" s="23">
        <f>IF(OR($A11="",C11=0),"",MIN(1,B11/C11))</f>
        <v/>
      </c>
      <c r="E11" s="13">
        <f>IF($A11="","",IF(IFERROR(INDEX(Ficha_Cafe!$AE$3:$AE$31,MATCH($A11,Ficha_Cafe!$A$3:$A$31,0)),"")="Completa","Sí","No"))</f>
        <v/>
      </c>
      <c r="F11" s="13">
        <f>IF($A11="","",IFERROR(INDEX(Ficha_Cafe!$AA$3:$AA$31,MATCH($A11,Ficha_Cafe!$A$3:$A$31,0)),""))</f>
        <v/>
      </c>
      <c r="G11" s="13">
        <f>IF($A11="","",IFERROR(INDEX(Ficha_Cafe!$AB$3:$AB$31,MATCH($A11,Ficha_Cafe!$A$3:$A$31,0)),""))</f>
        <v/>
      </c>
      <c r="H11" s="13">
        <f>IF($A11="","",COUNTIFS(Abordajes!$B$3:$B$300,$A11)-COUNTIFS(Abordajes!$B$3:$B$300,$A11,Abordajes!$F$3:$F$300,"No elegible (menor de edad)"))</f>
        <v/>
      </c>
      <c r="I11" s="23">
        <f>IF(OR($A11="",H11=0),"",COUNTIFS(Abordajes!$B$3:$B$300,$A11,Abordajes!$F$3:$F$300,"Completó la encuesta")/H11)</f>
        <v/>
      </c>
    </row>
    <row r="12">
      <c r="A12" s="13">
        <f>IF(Muestra_Cafes!A12="","",Muestra_Cafes!A12)</f>
        <v/>
      </c>
      <c r="B12" s="13">
        <f>IF($A12="","",COUNTIFS(Encuestas!$B$3:$B$200,$A12,Encuestas!$F$3:$F$200,1))</f>
        <v/>
      </c>
      <c r="C12" s="13">
        <f>IF($A12="","",Muestra_Cafes!M12)</f>
        <v/>
      </c>
      <c r="D12" s="23">
        <f>IF(OR($A12="",C12=0),"",MIN(1,B12/C12))</f>
        <v/>
      </c>
      <c r="E12" s="13">
        <f>IF($A12="","",IF(IFERROR(INDEX(Ficha_Cafe!$AE$3:$AE$31,MATCH($A12,Ficha_Cafe!$A$3:$A$31,0)),"")="Completa","Sí","No"))</f>
        <v/>
      </c>
      <c r="F12" s="13">
        <f>IF($A12="","",IFERROR(INDEX(Ficha_Cafe!$AA$3:$AA$31,MATCH($A12,Ficha_Cafe!$A$3:$A$31,0)),""))</f>
        <v/>
      </c>
      <c r="G12" s="13">
        <f>IF($A12="","",IFERROR(INDEX(Ficha_Cafe!$AB$3:$AB$31,MATCH($A12,Ficha_Cafe!$A$3:$A$31,0)),""))</f>
        <v/>
      </c>
      <c r="H12" s="13">
        <f>IF($A12="","",COUNTIFS(Abordajes!$B$3:$B$300,$A12)-COUNTIFS(Abordajes!$B$3:$B$300,$A12,Abordajes!$F$3:$F$300,"No elegible (menor de edad)"))</f>
        <v/>
      </c>
      <c r="I12" s="23">
        <f>IF(OR($A12="",H12=0),"",COUNTIFS(Abordajes!$B$3:$B$300,$A12,Abordajes!$F$3:$F$300,"Completó la encuesta")/H12)</f>
        <v/>
      </c>
    </row>
    <row r="13">
      <c r="A13" s="13">
        <f>IF(Muestra_Cafes!A13="","",Muestra_Cafes!A13)</f>
        <v/>
      </c>
      <c r="B13" s="13">
        <f>IF($A13="","",COUNTIFS(Encuestas!$B$3:$B$200,$A13,Encuestas!$F$3:$F$200,1))</f>
        <v/>
      </c>
      <c r="C13" s="13">
        <f>IF($A13="","",Muestra_Cafes!M13)</f>
        <v/>
      </c>
      <c r="D13" s="23">
        <f>IF(OR($A13="",C13=0),"",MIN(1,B13/C13))</f>
        <v/>
      </c>
      <c r="E13" s="13">
        <f>IF($A13="","",IF(IFERROR(INDEX(Ficha_Cafe!$AE$3:$AE$31,MATCH($A13,Ficha_Cafe!$A$3:$A$31,0)),"")="Completa","Sí","No"))</f>
        <v/>
      </c>
      <c r="F13" s="13">
        <f>IF($A13="","",IFERROR(INDEX(Ficha_Cafe!$AA$3:$AA$31,MATCH($A13,Ficha_Cafe!$A$3:$A$31,0)),""))</f>
        <v/>
      </c>
      <c r="G13" s="13">
        <f>IF($A13="","",IFERROR(INDEX(Ficha_Cafe!$AB$3:$AB$31,MATCH($A13,Ficha_Cafe!$A$3:$A$31,0)),""))</f>
        <v/>
      </c>
      <c r="H13" s="13">
        <f>IF($A13="","",COUNTIFS(Abordajes!$B$3:$B$300,$A13)-COUNTIFS(Abordajes!$B$3:$B$300,$A13,Abordajes!$F$3:$F$300,"No elegible (menor de edad)"))</f>
        <v/>
      </c>
      <c r="I13" s="23">
        <f>IF(OR($A13="",H13=0),"",COUNTIFS(Abordajes!$B$3:$B$300,$A13,Abordajes!$F$3:$F$300,"Completó la encuesta")/H13)</f>
        <v/>
      </c>
    </row>
    <row r="14">
      <c r="A14" s="13">
        <f>IF(Muestra_Cafes!A14="","",Muestra_Cafes!A14)</f>
        <v/>
      </c>
      <c r="B14" s="13">
        <f>IF($A14="","",COUNTIFS(Encuestas!$B$3:$B$200,$A14,Encuestas!$F$3:$F$200,1))</f>
        <v/>
      </c>
      <c r="C14" s="13">
        <f>IF($A14="","",Muestra_Cafes!M14)</f>
        <v/>
      </c>
      <c r="D14" s="23">
        <f>IF(OR($A14="",C14=0),"",MIN(1,B14/C14))</f>
        <v/>
      </c>
      <c r="E14" s="13">
        <f>IF($A14="","",IF(IFERROR(INDEX(Ficha_Cafe!$AE$3:$AE$31,MATCH($A14,Ficha_Cafe!$A$3:$A$31,0)),"")="Completa","Sí","No"))</f>
        <v/>
      </c>
      <c r="F14" s="13">
        <f>IF($A14="","",IFERROR(INDEX(Ficha_Cafe!$AA$3:$AA$31,MATCH($A14,Ficha_Cafe!$A$3:$A$31,0)),""))</f>
        <v/>
      </c>
      <c r="G14" s="13">
        <f>IF($A14="","",IFERROR(INDEX(Ficha_Cafe!$AB$3:$AB$31,MATCH($A14,Ficha_Cafe!$A$3:$A$31,0)),""))</f>
        <v/>
      </c>
      <c r="H14" s="13">
        <f>IF($A14="","",COUNTIFS(Abordajes!$B$3:$B$300,$A14)-COUNTIFS(Abordajes!$B$3:$B$300,$A14,Abordajes!$F$3:$F$300,"No elegible (menor de edad)"))</f>
        <v/>
      </c>
      <c r="I14" s="23">
        <f>IF(OR($A14="",H14=0),"",COUNTIFS(Abordajes!$B$3:$B$300,$A14,Abordajes!$F$3:$F$300,"Completó la encuesta")/H14)</f>
        <v/>
      </c>
    </row>
    <row r="15">
      <c r="A15" s="13">
        <f>IF(Muestra_Cafes!A15="","",Muestra_Cafes!A15)</f>
        <v/>
      </c>
      <c r="B15" s="13">
        <f>IF($A15="","",COUNTIFS(Encuestas!$B$3:$B$200,$A15,Encuestas!$F$3:$F$200,1))</f>
        <v/>
      </c>
      <c r="C15" s="13">
        <f>IF($A15="","",Muestra_Cafes!M15)</f>
        <v/>
      </c>
      <c r="D15" s="23">
        <f>IF(OR($A15="",C15=0),"",MIN(1,B15/C15))</f>
        <v/>
      </c>
      <c r="E15" s="13">
        <f>IF($A15="","",IF(IFERROR(INDEX(Ficha_Cafe!$AE$3:$AE$31,MATCH($A15,Ficha_Cafe!$A$3:$A$31,0)),"")="Completa","Sí","No"))</f>
        <v/>
      </c>
      <c r="F15" s="13">
        <f>IF($A15="","",IFERROR(INDEX(Ficha_Cafe!$AA$3:$AA$31,MATCH($A15,Ficha_Cafe!$A$3:$A$31,0)),""))</f>
        <v/>
      </c>
      <c r="G15" s="13">
        <f>IF($A15="","",IFERROR(INDEX(Ficha_Cafe!$AB$3:$AB$31,MATCH($A15,Ficha_Cafe!$A$3:$A$31,0)),""))</f>
        <v/>
      </c>
      <c r="H15" s="13">
        <f>IF($A15="","",COUNTIFS(Abordajes!$B$3:$B$300,$A15)-COUNTIFS(Abordajes!$B$3:$B$300,$A15,Abordajes!$F$3:$F$300,"No elegible (menor de edad)"))</f>
        <v/>
      </c>
      <c r="I15" s="23">
        <f>IF(OR($A15="",H15=0),"",COUNTIFS(Abordajes!$B$3:$B$300,$A15,Abordajes!$F$3:$F$300,"Completó la encuesta")/H15)</f>
        <v/>
      </c>
    </row>
    <row r="16">
      <c r="A16" s="35" t="inlineStr">
        <is>
          <t>TOTAL</t>
        </is>
      </c>
      <c r="B16" s="35">
        <f>SUM(B2:B15)</f>
        <v/>
      </c>
      <c r="C16" s="35">
        <f>SUM(C2:C15)</f>
        <v/>
      </c>
      <c r="D16" s="36">
        <f>IF(C16=0,"",MIN(1,B16/C16))</f>
        <v/>
      </c>
      <c r="E16" s="35">
        <f>COUNTIFS(E2:E15,"Sí",C2:C15,"&gt;0")&amp;" de "&amp;COUNTIF(C2:C15,"&gt;0")&amp;" fichas completas"</f>
        <v/>
      </c>
      <c r="H16" s="35">
        <f>SUM(H2:H15)</f>
        <v/>
      </c>
      <c r="I16" s="36">
        <f>IF(H16=0,"",COUNTIF(Abordajes!$F$3:$F$300,"Completó la encuesta")/H16)</f>
        <v/>
      </c>
    </row>
    <row r="18">
      <c r="A18" s="40" t="inlineStr">
        <is>
          <t>Meta: 10 cafés × 8 encuestas = 80. Si se activa una reserva (R1–R3), ponga meta 0 y estado «Reemplazado» al local original en Muestra_Cafes, y meta 8 y estado «Pendiente» a la reserva: el total sigue en 80. ficha_lista = «Sí» solo si la ficha del café está «Completa». tasa_respuesta = encuestas completas / personas elegibles abordadas (hoja Abordajes).</t>
        </is>
      </c>
    </row>
    <row r="21" ht="15.75" customHeight="1" s="45"/>
    <row r="22" ht="15.75" customHeight="1" s="45"/>
    <row r="23" ht="15.75" customHeight="1" s="45"/>
    <row r="24" ht="15.75" customHeight="1" s="45"/>
    <row r="25" ht="15.75" customHeight="1" s="45"/>
    <row r="26" ht="15.75" customHeight="1" s="45"/>
    <row r="27" ht="15.75" customHeight="1" s="45"/>
    <row r="28" ht="15.75" customHeight="1" s="45"/>
    <row r="29" ht="15.75" customHeight="1" s="45"/>
    <row r="30" ht="15.75" customHeight="1" s="45"/>
    <row r="31" ht="15.75" customHeight="1" s="45"/>
    <row r="32" ht="15.75" customHeight="1" s="45"/>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7.xml><?xml version="1.0" encoding="utf-8"?>
<worksheet xmlns="http://schemas.openxmlformats.org/spreadsheetml/2006/main">
  <sheetPr>
    <outlinePr summaryBelow="0" summaryRight="0"/>
    <pageSetUpPr/>
  </sheetPr>
  <dimension ref="A1:AE20"/>
  <sheetViews>
    <sheetView workbookViewId="0">
      <selection activeCell="A1" sqref="A1"/>
    </sheetView>
  </sheetViews>
  <sheetFormatPr baseColWidth="8" defaultColWidth="14.43" defaultRowHeight="15" customHeight="1"/>
  <cols>
    <col width="24.29" customWidth="1" style="45" min="8" max="8"/>
    <col width="21.57" customWidth="1" style="45" min="9" max="9"/>
    <col width="21" customWidth="1" style="45" min="22" max="22"/>
  </cols>
  <sheetData>
    <row r="1" ht="33.75" customHeight="1" s="45">
      <c r="A1" s="34" t="inlineStr">
        <is>
          <t>PILOTO HIPOTÉTICO (1 café y 1 encuesta, según lo acordado con el profesor) · Ficha de observación</t>
        </is>
      </c>
      <c r="B1" s="34" t="n"/>
      <c r="C1" s="34" t="n"/>
      <c r="D1" s="34" t="n"/>
      <c r="E1" s="34" t="n"/>
      <c r="F1" s="34" t="n"/>
      <c r="G1" s="34" t="n"/>
      <c r="H1" s="34" t="n"/>
      <c r="I1" s="34" t="n"/>
      <c r="J1" s="34" t="n"/>
      <c r="K1" s="34" t="n"/>
      <c r="L1" s="34" t="n"/>
      <c r="M1" s="34" t="n"/>
      <c r="N1" s="34" t="n"/>
      <c r="O1" s="34" t="n"/>
      <c r="P1" s="34" t="n"/>
      <c r="Q1" s="34" t="n"/>
      <c r="R1" s="34" t="n"/>
      <c r="S1" s="34" t="n"/>
      <c r="T1" s="34" t="n"/>
      <c r="U1" s="34" t="n"/>
      <c r="V1" s="34" t="n"/>
      <c r="W1" s="34" t="n"/>
      <c r="X1" s="34" t="n"/>
      <c r="Y1" s="34" t="n"/>
      <c r="Z1" s="34" t="n"/>
      <c r="AA1" s="34" t="n"/>
      <c r="AB1" s="34" t="n"/>
      <c r="AC1" s="34" t="n"/>
      <c r="AD1" s="34" t="n"/>
      <c r="AE1" s="34" t="n"/>
    </row>
    <row r="2" ht="33.75" customHeight="1" s="45">
      <c r="A2" s="5" t="inlineStr">
        <is>
          <t>cafe_id</t>
        </is>
      </c>
      <c r="B2" s="5" t="inlineStr">
        <is>
          <t>id_mapa</t>
        </is>
      </c>
      <c r="C2" s="5" t="inlineStr">
        <is>
          <t>coordenada</t>
        </is>
      </c>
      <c r="D2" s="5" t="inlineStr">
        <is>
          <t>nombre_cafe</t>
        </is>
      </c>
      <c r="E2" s="5" t="inlineStr">
        <is>
          <t>localidad</t>
        </is>
      </c>
      <c r="F2" s="5" t="inlineStr">
        <is>
          <t>zona_muestreo</t>
        </is>
      </c>
      <c r="G2" s="5" t="inlineStr">
        <is>
          <t>tipo_negocio</t>
        </is>
      </c>
      <c r="H2" s="5" t="inlineStr">
        <is>
          <t>fecha</t>
        </is>
      </c>
      <c r="I2" s="5" t="inlineStr">
        <is>
          <t>dia_tipo</t>
        </is>
      </c>
      <c r="J2" s="5" t="inlineStr">
        <is>
          <t>franja</t>
        </is>
      </c>
      <c r="K2" s="5" t="inlineStr">
        <is>
          <t>observador</t>
        </is>
      </c>
      <c r="L2" s="5" t="inlineStr">
        <is>
          <t>autorizacion_local</t>
        </is>
      </c>
      <c r="M2" s="8" t="inlineStr">
        <is>
          <t>st1</t>
        </is>
      </c>
      <c r="N2" s="8" t="inlineStr">
        <is>
          <t>st2</t>
        </is>
      </c>
      <c r="O2" s="8" t="inlineStr">
        <is>
          <t>st3</t>
        </is>
      </c>
      <c r="P2" s="8" t="inlineStr">
        <is>
          <t>st4</t>
        </is>
      </c>
      <c r="Q2" s="8" t="inlineStr">
        <is>
          <t>st5</t>
        </is>
      </c>
      <c r="R2" s="8" t="inlineStr">
        <is>
          <t>st6</t>
        </is>
      </c>
      <c r="S2" s="8" t="inlineStr">
        <is>
          <t>am1</t>
        </is>
      </c>
      <c r="T2" s="8" t="inlineStr">
        <is>
          <t>am2</t>
        </is>
      </c>
      <c r="U2" s="8" t="inlineStr">
        <is>
          <t>am3</t>
        </is>
      </c>
      <c r="V2" s="8" t="inlineStr">
        <is>
          <t>am4</t>
        </is>
      </c>
      <c r="W2" s="8" t="inlineStr">
        <is>
          <t>am5</t>
        </is>
      </c>
      <c r="X2" s="8" t="inlineStr">
        <is>
          <t>am6</t>
        </is>
      </c>
      <c r="Y2" s="8" t="inlineStr">
        <is>
          <t>am7</t>
        </is>
      </c>
      <c r="Z2" s="8" t="inlineStr">
        <is>
          <t>am8</t>
        </is>
      </c>
      <c r="AA2" s="5" t="inlineStr">
        <is>
          <t>tiene_instagram</t>
        </is>
      </c>
      <c r="AB2" s="5" t="inlineStr">
        <is>
          <t>google_rating</t>
        </is>
      </c>
      <c r="AC2" s="5" t="inlineStr">
        <is>
          <t>google_resenas</t>
        </is>
      </c>
      <c r="AD2" s="5" t="inlineStr">
        <is>
          <t>fotos_ok</t>
        </is>
      </c>
      <c r="AE2" s="5" t="inlineStr">
        <is>
          <t>obs_texto</t>
        </is>
      </c>
    </row>
    <row r="3">
      <c r="A3" s="53" t="inlineStr">
        <is>
          <t>P1</t>
        </is>
      </c>
      <c r="B3" s="54" t="inlineStr">
        <is>
          <t>R-02</t>
        </is>
      </c>
      <c r="C3" s="54" t="inlineStr">
        <is>
          <t>4.615197, -74.071853</t>
        </is>
      </c>
      <c r="D3" s="53" t="inlineStr">
        <is>
          <t>Terracota Café y Más</t>
        </is>
      </c>
      <c r="E3" s="54" t="inlineStr">
        <is>
          <t>Santa Fe</t>
        </is>
      </c>
      <c r="F3" s="54" t="inlineStr">
        <is>
          <t>Z2 La Macarena</t>
        </is>
      </c>
      <c r="G3" s="54" t="inlineStr">
        <is>
          <t>Pequeña cadena (2–5 locales)</t>
        </is>
      </c>
      <c r="H3" s="37" t="n">
        <v>46323</v>
      </c>
      <c r="I3" s="38" t="inlineStr">
        <is>
          <t>Entre semana</t>
        </is>
      </c>
      <c r="J3" s="18" t="inlineStr">
        <is>
          <t>Tarde (14–17)</t>
        </is>
      </c>
      <c r="K3" s="38" t="inlineStr">
        <is>
          <t>A</t>
        </is>
      </c>
      <c r="L3" s="38" t="n">
        <v>1</v>
      </c>
      <c r="M3" s="38" t="n">
        <v>1</v>
      </c>
      <c r="N3" s="38" t="n">
        <v>1</v>
      </c>
      <c r="O3" s="38" t="n">
        <v>1</v>
      </c>
      <c r="P3" s="38" t="n">
        <v>1</v>
      </c>
      <c r="Q3" s="38" t="n">
        <v>1</v>
      </c>
      <c r="R3" s="38" t="n">
        <v>1</v>
      </c>
      <c r="S3" s="38" t="n">
        <v>1</v>
      </c>
      <c r="T3" s="38" t="n">
        <v>1</v>
      </c>
      <c r="U3" s="38" t="n">
        <v>0</v>
      </c>
      <c r="V3" s="38" t="n">
        <v>0</v>
      </c>
      <c r="W3" s="38" t="n">
        <v>1</v>
      </c>
      <c r="X3" s="38" t="n">
        <v>1</v>
      </c>
      <c r="Y3" s="38" t="n">
        <v>0</v>
      </c>
      <c r="Z3" s="38" t="n">
        <v>1</v>
      </c>
      <c r="AA3" s="38" t="n">
        <v>1</v>
      </c>
      <c r="AB3" s="38" t="n">
        <v>4.8</v>
      </c>
      <c r="AC3" s="38" t="n">
        <v>168</v>
      </c>
      <c r="AD3" s="38" t="n">
        <v>1</v>
      </c>
      <c r="AE3" s="38" t="inlineStr">
        <is>
          <t>[Hipotético] El sitio se ve cómodo, buena iluminación.</t>
        </is>
      </c>
    </row>
    <row r="4">
      <c r="A4" s="39" t="inlineStr">
        <is>
          <t>Encuestas</t>
        </is>
      </c>
    </row>
    <row r="5" ht="33.75" customHeight="1" s="45">
      <c r="A5" s="5" t="inlineStr">
        <is>
          <t>enc_id</t>
        </is>
      </c>
      <c r="B5" s="5" t="inlineStr">
        <is>
          <t>cafe_id</t>
        </is>
      </c>
      <c r="C5" s="5" t="inlineStr">
        <is>
          <t>fecha</t>
        </is>
      </c>
      <c r="D5" s="5" t="inlineStr">
        <is>
          <t>hora</t>
        </is>
      </c>
      <c r="E5" s="5" t="inlineStr">
        <is>
          <t>encuestador</t>
        </is>
      </c>
      <c r="F5" s="5" t="inlineStr">
        <is>
          <t>consentimiento</t>
        </is>
      </c>
      <c r="G5" s="8" t="inlineStr">
        <is>
          <t>freq_visita</t>
        </is>
      </c>
      <c r="H5" s="8" t="inlineStr">
        <is>
          <t>motivo_visita</t>
        </is>
      </c>
      <c r="I5" s="8" t="inlineStr">
        <is>
          <t>como_conocio</t>
        </is>
      </c>
      <c r="J5" s="8" t="inlineStr">
        <is>
          <t>minutos_permanencia</t>
        </is>
      </c>
      <c r="K5" s="8" t="inlineStr">
        <is>
          <t>per_ambiente</t>
        </is>
      </c>
      <c r="L5" s="8" t="inlineStr">
        <is>
          <t>per_distintivo</t>
        </is>
      </c>
      <c r="M5" s="8" t="inlineStr">
        <is>
          <t>per_origen</t>
        </is>
      </c>
      <c r="N5" s="8" t="inlineStr">
        <is>
          <t>per_historia</t>
        </is>
      </c>
      <c r="O5" s="8" t="inlineStr">
        <is>
          <t>per_calidad</t>
        </is>
      </c>
      <c r="P5" s="8" t="inlineStr">
        <is>
          <t>per_atencion</t>
        </is>
      </c>
      <c r="Q5" s="8" t="inlineStr">
        <is>
          <t>per_descripcion</t>
        </is>
      </c>
      <c r="R5" s="8" t="inlineStr">
        <is>
          <t>recuerda_dato</t>
        </is>
      </c>
      <c r="S5" s="8" t="inlineStr">
        <is>
          <t>nps_recomienda</t>
        </is>
      </c>
      <c r="T5" s="8" t="inlineStr">
        <is>
          <t>prob_volver</t>
        </is>
      </c>
      <c r="U5" s="8" t="inlineStr">
        <is>
          <t>n_otros_cafes</t>
        </is>
      </c>
      <c r="V5" s="8" t="inlineStr">
        <is>
          <t>primera_opcion</t>
        </is>
      </c>
      <c r="W5" s="8" t="inlineStr">
        <is>
          <t>obs_encuestador</t>
        </is>
      </c>
    </row>
    <row r="6">
      <c r="A6" s="38" t="inlineStr">
        <is>
          <t>E-P1-01</t>
        </is>
      </c>
      <c r="B6" s="38" t="inlineStr">
        <is>
          <t>P1</t>
        </is>
      </c>
      <c r="C6" s="37" t="n">
        <v>46323</v>
      </c>
      <c r="D6" s="56" t="inlineStr">
        <is>
          <t>15:10</t>
        </is>
      </c>
      <c r="E6" s="38" t="inlineStr">
        <is>
          <t>A</t>
        </is>
      </c>
      <c r="F6" s="38" t="n">
        <v>1</v>
      </c>
      <c r="G6" s="38" t="inlineStr">
        <is>
          <t>Primera vez</t>
        </is>
      </c>
      <c r="H6" s="38" t="inlineStr">
        <is>
          <t>Probar café de especialidad</t>
        </is>
      </c>
      <c r="I6" s="38" t="inlineStr">
        <is>
          <t>Google Maps u otra app</t>
        </is>
      </c>
      <c r="J6" s="38" t="inlineStr">
        <is>
          <t>30-60 minutos</t>
        </is>
      </c>
      <c r="K6" s="38" t="n">
        <v>4</v>
      </c>
      <c r="L6" s="38" t="n">
        <v>4</v>
      </c>
      <c r="M6" s="38" t="n">
        <v>1</v>
      </c>
      <c r="N6" s="38" t="n">
        <v>4</v>
      </c>
      <c r="O6" s="38" t="n">
        <v>1</v>
      </c>
      <c r="P6" s="38" t="n">
        <v>4</v>
      </c>
      <c r="Q6" s="38" t="n">
        <v>1</v>
      </c>
      <c r="R6" s="38" t="n">
        <v>1</v>
      </c>
      <c r="S6" s="38" t="n">
        <v>6</v>
      </c>
      <c r="T6" s="38" t="n">
        <v>3</v>
      </c>
      <c r="U6" s="38" t="inlineStr">
        <is>
          <t>3 a 5</t>
        </is>
      </c>
      <c r="V6" s="38" t="inlineStr">
        <is>
          <t>Una de varias opciones</t>
        </is>
      </c>
      <c r="W6" s="38" t="inlineStr">
        <is>
          <t>Ninguna</t>
        </is>
      </c>
    </row>
    <row r="7">
      <c r="A7" s="39" t="inlineStr">
        <is>
          <t>Observaciones</t>
        </is>
      </c>
    </row>
    <row r="8">
      <c r="A8" s="5" t="inlineStr">
        <is>
          <t>TIEMPO QUE TOMO RESOLVER LA FICHA:</t>
        </is>
      </c>
      <c r="B8" s="38" t="inlineStr">
        <is>
          <t>5 min aprox</t>
        </is>
      </c>
      <c r="C8" s="5" t="inlineStr">
        <is>
          <t>TIEMPO QUE TOMO RESOLVER LA ENCUESTA:</t>
        </is>
      </c>
      <c r="D8" s="56" t="inlineStr">
        <is>
          <t>2 min aprox</t>
        </is>
      </c>
    </row>
    <row r="10">
      <c r="A10" s="57" t="inlineStr">
        <is>
          <t>RESULTADO DEL PILOTO</t>
        </is>
      </c>
    </row>
    <row r="11">
      <c r="A11" s="58" t="inlineStr">
        <is>
          <t>Qué se revisó</t>
        </is>
      </c>
      <c r="E11" s="58" t="inlineStr">
        <is>
          <t>Hallazgo al cargar el piloto en la base</t>
        </is>
      </c>
      <c r="M11" s="58" t="inlineStr">
        <is>
          <t>Ajuste hecho (v1.2)</t>
        </is>
      </c>
    </row>
    <row r="12" ht="29" customHeight="1" s="45">
      <c r="A12" s="59" t="inlineStr">
        <is>
          <t>ID del café y de la encuesta</t>
        </is>
      </c>
      <c r="E12" s="59" t="inlineStr">
        <is>
          <t>El piloto se registró con el ID de una reserva (R2) y la encuesta como P0-1, fuera de la convención.</t>
        </is>
      </c>
      <c r="M12" s="59" t="inlineStr">
        <is>
          <t>Café P1 y encuesta E-P1-01. R2 queda libre como reserva.</t>
        </is>
      </c>
    </row>
    <row r="13" ht="29" customHeight="1" s="45">
      <c r="A13" s="59" t="inlineStr">
        <is>
          <t>localidad y zona_muestreo</t>
        </is>
      </c>
      <c r="E13" s="59" t="inlineStr">
        <is>
          <t>Estaban invertidas (la zona en localidad y la localidad en zona).</t>
        </is>
      </c>
      <c r="M13" s="59" t="inlineStr">
        <is>
          <t>Corregidas. Terracota queda en Santa Fe (como Oishii, en la misma carrera 13), en Muestra_Cafes, Ficha_Cafe y aquí.</t>
        </is>
      </c>
    </row>
    <row r="14" ht="16" customHeight="1" s="45">
      <c r="A14" s="59" t="inlineStr">
        <is>
          <t>coordenada</t>
        </is>
      </c>
      <c r="E14" s="59" t="inlineStr">
        <is>
          <t>Venía como «lon,lat,altura» y sin signo negativo.</t>
        </is>
      </c>
      <c r="M14" s="59" t="inlineStr">
        <is>
          <t>Unificada a «lat, lon», como en Muestra_Cafes (misma coordenada de Terracota en las dos hojas).</t>
        </is>
      </c>
    </row>
    <row r="15" ht="29" customHeight="1" s="45">
      <c r="A15" s="59" t="inlineStr">
        <is>
          <t>hora de la encuesta</t>
        </is>
      </c>
      <c r="E15" s="59" t="inlineStr">
        <is>
          <t>Quedó guardada como hora numérica (4:00 a. m.), fuera de la franja de la tarde.</t>
        </is>
      </c>
      <c r="M15" s="59" t="inlineStr">
        <is>
          <t>La columna hora de Encuestas es texto HH:MM. Dato del piloto: 15:10.</t>
        </is>
      </c>
    </row>
    <row r="16" ht="29" customHeight="1" s="45">
      <c r="A16" s="59" t="inlineStr">
        <is>
          <t>minutos_permanencia</t>
        </is>
      </c>
      <c r="E16" s="59" t="inlineStr">
        <is>
          <t>La columna estaba validada como numérica, pero la pregunta 4 del cuestionario tiene rangos («30-60 minutos»).</t>
        </is>
      </c>
      <c r="M16" s="59" t="inlineStr">
        <is>
          <t>minutos_permanencia pasa a categórica con las 4 opciones del cuestionario (menú desplegable). Dato del piloto: 30-60 minutos.</t>
        </is>
      </c>
    </row>
    <row r="17" ht="29" customHeight="1" s="45">
      <c r="A17" s="59" t="inlineStr">
        <is>
          <t>categorías con distinta escritura</t>
        </is>
      </c>
      <c r="E17" s="59" t="inlineStr">
        <is>
          <t>«3 a 5» vs «3–5»; «cafe» y «Google maps» sin tilde o con otra mayúscula, distinto de las listas.</t>
        </is>
      </c>
      <c r="M17" s="59" t="inlineStr">
        <is>
          <t>Listas y Diccionario coinciden con las etiquetas del cuestionario («1 a 2», «3 a 5», «Semanal», «Salir de la rutina»). Se usa siempre el menú desplegable.</t>
        </is>
      </c>
    </row>
    <row r="18" ht="29" customHeight="1" s="45">
      <c r="A18" s="59" t="inlineStr">
        <is>
          <t>escala de per_origen</t>
        </is>
      </c>
      <c r="E18" s="59" t="inlineStr">
        <is>
          <t>El Diccionario y la validación tenían per_origen en escala 1–5, pero en el cuestionario es Sí (1) / No (0).</t>
        </is>
      </c>
      <c r="M18" s="59" t="inlineStr">
        <is>
          <t>per_origen es binaria (0/1) en el Diccionario y en la validación de Encuestas.</t>
        </is>
      </c>
    </row>
    <row r="19" ht="29" customHeight="1" s="45">
      <c r="A19" s="59" t="inlineStr">
        <is>
          <t>tiempos</t>
        </is>
      </c>
      <c r="E19" s="59" t="inlineStr">
        <is>
          <t>La ficha tomó unos 5 min y la encuesta unos 2 min (había quedado guardada como 1:20).</t>
        </is>
      </c>
      <c r="M19" s="59" t="inlineStr">
        <is>
          <t>Con unos 2 min por encuesta, 8 encuestas caben holgadamente en una visita de unas 2,5 horas.</t>
        </is>
      </c>
    </row>
    <row r="20" ht="29" customHeight="1" s="45">
      <c r="A20" s="59" t="inlineStr">
        <is>
          <t>alcance del piloto</t>
        </is>
      </c>
      <c r="E20" s="59" t="inlineStr">
        <is>
          <t>Piloto hipotético de un caso (acordado con el profesor): no mide acuerdo entre observadores ni tasa de respuesta.</t>
        </is>
      </c>
      <c r="M20" s="59" t="inlineStr">
        <is>
          <t>La tasa de respuesta se mide en campo con la hoja Abordajes (nueva).</t>
        </is>
      </c>
    </row>
  </sheetData>
  <mergeCells count="30">
    <mergeCell ref="E12:L12"/>
    <mergeCell ref="E18:L18"/>
    <mergeCell ref="A17:D17"/>
    <mergeCell ref="A20:D20"/>
    <mergeCell ref="E14:L14"/>
    <mergeCell ref="A19:D19"/>
    <mergeCell ref="A13:D13"/>
    <mergeCell ref="E17:L17"/>
    <mergeCell ref="E20:L20"/>
    <mergeCell ref="M11:W11"/>
    <mergeCell ref="M20:W20"/>
    <mergeCell ref="A15:D15"/>
    <mergeCell ref="E13:L13"/>
    <mergeCell ref="E19:L19"/>
    <mergeCell ref="A11:D11"/>
    <mergeCell ref="M13:W13"/>
    <mergeCell ref="M16:W16"/>
    <mergeCell ref="E15:L15"/>
    <mergeCell ref="M12:W12"/>
    <mergeCell ref="E11:L11"/>
    <mergeCell ref="M15:W15"/>
    <mergeCell ref="A16:D16"/>
    <mergeCell ref="M18:W18"/>
    <mergeCell ref="A18:D18"/>
    <mergeCell ref="M17:W17"/>
    <mergeCell ref="A12:D12"/>
    <mergeCell ref="E16:L16"/>
    <mergeCell ref="M14:W14"/>
    <mergeCell ref="M19:W19"/>
    <mergeCell ref="A14:D14"/>
  </mergeCells>
  <dataValidations count="12">
    <dataValidation sqref="J3" showDropDown="0" showInputMessage="0" showErrorMessage="0" allowBlank="1" type="list">
      <formula1>Listas!$E$2:$E$3</formula1>
    </dataValidation>
    <dataValidation sqref="G3" showDropDown="0" showInputMessage="0" showErrorMessage="0" allowBlank="1" type="list">
      <formula1>Listas!$C$2:$C$5</formula1>
    </dataValidation>
    <dataValidation sqref="E3" showDropDown="0" showInputMessage="0" showErrorMessage="0" allowBlank="1" type="list">
      <formula1>Listas!$A$2:$A$9</formula1>
    </dataValidation>
    <dataValidation sqref="F3" showDropDown="0" showInputMessage="0" showErrorMessage="0" allowBlank="1" type="list">
      <formula1>Listas!$B$2:$B$4</formula1>
    </dataValidation>
    <dataValidation sqref="G6" showDropDown="0" showInputMessage="0" showErrorMessage="0" allowBlank="1" type="list">
      <formula1>Listas!$G$2:$G$5</formula1>
    </dataValidation>
    <dataValidation sqref="H6" showDropDown="0" showInputMessage="0" showErrorMessage="0" allowBlank="1" type="list">
      <formula1>Listas!$H$2:$H$6</formula1>
    </dataValidation>
    <dataValidation sqref="I6" showDropDown="0" showInputMessage="0" showErrorMessage="0" allowBlank="1" type="list">
      <formula1>Listas!$I$2:$I$6</formula1>
    </dataValidation>
    <dataValidation sqref="U6" showDropDown="0" showInputMessage="0" showErrorMessage="0" allowBlank="1" type="list">
      <formula1>Listas!$K$2:$K$5</formula1>
    </dataValidation>
    <dataValidation sqref="V6" showDropDown="0" showInputMessage="0" showErrorMessage="0" allowBlank="1" type="list">
      <formula1>Listas!$L$2:$L$4</formula1>
    </dataValidation>
    <dataValidation sqref="I3" showDropDown="0" showInputMessage="0" showErrorMessage="0" allowBlank="1" type="list">
      <formula1>Listas!$D$2:$D$3</formula1>
    </dataValidation>
    <dataValidation sqref="K3" showDropDown="0" showInputMessage="0" showErrorMessage="0" allowBlank="1" type="list">
      <formula1>Listas!$F$2:$F$4</formula1>
    </dataValidation>
    <dataValidation sqref="J6" showDropDown="0" showInputMessage="0" showErrorMessage="0" allowBlank="1" type="list">
      <formula1>Listas!$P$2:$P$5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20" customWidth="1" style="45" min="1" max="1"/>
    <col width="12" customWidth="1" style="45" min="2" max="2"/>
    <col width="30" customWidth="1" style="45" min="3" max="3"/>
    <col width="70" customWidth="1" style="45" min="4" max="4"/>
    <col width="12" customWidth="1" style="45" min="5" max="5"/>
    <col width="44" customWidth="1" style="45" min="6" max="6"/>
    <col width="12" customWidth="1" style="45" min="7" max="7"/>
    <col width="52" customWidth="1" style="45" min="8" max="8"/>
    <col width="8.710000000000001" customWidth="1" style="45" min="9" max="26"/>
  </cols>
  <sheetData>
    <row r="1" s="45">
      <c r="A1" s="42" t="inlineStr">
        <is>
          <t>variable</t>
        </is>
      </c>
      <c r="B1" s="42" t="inlineStr">
        <is>
          <t>hoja</t>
        </is>
      </c>
      <c r="C1" s="42" t="inlineStr">
        <is>
          <t>bloque</t>
        </is>
      </c>
      <c r="D1" s="42" t="inlineStr">
        <is>
          <t>pregunta o ítem</t>
        </is>
      </c>
      <c r="E1" s="42" t="inlineStr">
        <is>
          <t>tipo</t>
        </is>
      </c>
      <c r="F1" s="42" t="inlineStr">
        <is>
          <t>valores permitidos</t>
        </is>
      </c>
      <c r="G1" s="42" t="inlineStr">
        <is>
          <t>obligatoria</t>
        </is>
      </c>
      <c r="H1" s="42" t="inlineStr">
        <is>
          <t>uso en el análisis</t>
        </is>
      </c>
    </row>
    <row r="2" ht="29" customHeight="1" s="45">
      <c r="A2" s="44" t="inlineStr">
        <is>
          <t>cafe_id</t>
        </is>
      </c>
      <c r="B2" s="44" t="inlineStr">
        <is>
          <t>Ficha_Cafe</t>
        </is>
      </c>
      <c r="C2" s="44" t="inlineStr">
        <is>
          <t>Identificación</t>
        </is>
      </c>
      <c r="D2" s="44" t="inlineStr">
        <is>
          <t>ID único del café (C01–C10; P1 piloto; R1–R3 reemplazos)</t>
        </is>
      </c>
      <c r="E2" s="44" t="inlineStr">
        <is>
          <t>texto</t>
        </is>
      </c>
      <c r="F2" s="44" t="inlineStr">
        <is>
          <t>libre</t>
        </is>
      </c>
      <c r="G2" s="44" t="inlineStr">
        <is>
          <t>Sí</t>
        </is>
      </c>
      <c r="H2" s="44" t="inlineStr">
        <is>
          <t>Llave de unión con Encuestas (unidad de análisis: el café)</t>
        </is>
      </c>
    </row>
    <row r="3" ht="16" customHeight="1" s="45">
      <c r="A3" s="44" t="inlineStr">
        <is>
          <t>id_mapa</t>
        </is>
      </c>
      <c r="B3" s="44" t="inlineStr">
        <is>
          <t>Ficha_Cafe</t>
        </is>
      </c>
      <c r="C3" s="44" t="inlineStr">
        <is>
          <t>Identificación</t>
        </is>
      </c>
      <c r="D3" s="44" t="inlineStr">
        <is>
          <t>ID del café en el shapefile de la Entrega 3a (no la dirección)</t>
        </is>
      </c>
      <c r="E3" s="44" t="inlineStr">
        <is>
          <t>texto</t>
        </is>
      </c>
      <c r="F3" s="44" t="inlineStr">
        <is>
          <t>libre</t>
        </is>
      </c>
      <c r="G3" s="44" t="inlineStr">
        <is>
          <t>Sí</t>
        </is>
      </c>
      <c r="H3" s="44" t="inlineStr">
        <is>
          <t>Unión con el mapa y los análisis espaciales</t>
        </is>
      </c>
    </row>
    <row r="4" ht="16" customHeight="1" s="45">
      <c r="A4" s="44" t="inlineStr">
        <is>
          <t>coordenada</t>
        </is>
      </c>
      <c r="B4" s="44" t="inlineStr">
        <is>
          <t>Ficha_Cafe</t>
        </is>
      </c>
      <c r="C4" s="44" t="inlineStr">
        <is>
          <t>Identificación</t>
        </is>
      </c>
      <c r="D4" s="44" t="inlineStr">
        <is>
          <t>Coordenadas del café en formato «lat, lon» (p. ej. 4.631853, -74.073582)</t>
        </is>
      </c>
      <c r="E4" s="44" t="inlineStr">
        <is>
          <t>texto</t>
        </is>
      </c>
      <c r="F4" s="44" t="inlineStr">
        <is>
          <t>libre</t>
        </is>
      </c>
      <c r="G4" s="44" t="inlineStr">
        <is>
          <t>Sí</t>
        </is>
      </c>
      <c r="H4" s="44" t="inlineStr">
        <is>
          <t>Respaldo del id_mapa en los análisis espaciales</t>
        </is>
      </c>
    </row>
    <row r="5" ht="16" customHeight="1" s="45">
      <c r="A5" s="44" t="inlineStr">
        <is>
          <t>nombre_cafe</t>
        </is>
      </c>
      <c r="B5" s="44" t="inlineStr">
        <is>
          <t>Ficha_Cafe</t>
        </is>
      </c>
      <c r="C5" s="44" t="inlineStr">
        <is>
          <t>Identificación</t>
        </is>
      </c>
      <c r="D5" s="44" t="inlineStr">
        <is>
          <t>Nombre del negocio</t>
        </is>
      </c>
      <c r="E5" s="44" t="inlineStr">
        <is>
          <t>texto</t>
        </is>
      </c>
      <c r="F5" s="44" t="inlineStr">
        <is>
          <t>libre</t>
        </is>
      </c>
      <c r="G5" s="44" t="inlineStr">
        <is>
          <t>Sí</t>
        </is>
      </c>
      <c r="H5" s="44" t="inlineStr">
        <is>
          <t>Identificación (único dato nominal)</t>
        </is>
      </c>
    </row>
    <row r="6" ht="29" customHeight="1" s="45">
      <c r="A6" s="44" t="inlineStr">
        <is>
          <t>localidad</t>
        </is>
      </c>
      <c r="B6" s="44" t="inlineStr">
        <is>
          <t>Ficha_Cafe</t>
        </is>
      </c>
      <c r="C6" s="44" t="inlineStr">
        <is>
          <t>Identificación</t>
        </is>
      </c>
      <c r="D6" s="44" t="inlineStr">
        <is>
          <t>Localidad donde está el café</t>
        </is>
      </c>
      <c r="E6" s="44" t="inlineStr">
        <is>
          <t>categórica</t>
        </is>
      </c>
      <c r="F6" s="44" t="inlineStr">
        <is>
          <t>Chapinero | Usaquén | Teusaquillo | Barrios Unidos | Santa Fe | La Candelaria | Suba | Otra</t>
        </is>
      </c>
      <c r="G6" s="44" t="inlineStr">
        <is>
          <t>Sí</t>
        </is>
      </c>
      <c r="H6" s="44" t="inlineStr">
        <is>
          <t>Descriptivo / control</t>
        </is>
      </c>
    </row>
    <row r="7" ht="29" customHeight="1" s="45">
      <c r="A7" s="44" t="inlineStr">
        <is>
          <t>zona_muestreo</t>
        </is>
      </c>
      <c r="B7" s="44" t="inlineStr">
        <is>
          <t>Ficha_Cafe</t>
        </is>
      </c>
      <c r="C7" s="44" t="inlineStr">
        <is>
          <t>Identificación</t>
        </is>
      </c>
      <c r="D7" s="44" t="inlineStr">
        <is>
          <t>Estrato geográfico del muestreo</t>
        </is>
      </c>
      <c r="E7" s="44" t="inlineStr">
        <is>
          <t>categórica</t>
        </is>
      </c>
      <c r="F7" s="44" t="inlineStr">
        <is>
          <t>Z1 Parkway–Teusaquillo | Z2 La Macarena | Z3 Centro</t>
        </is>
      </c>
      <c r="G7" s="44" t="inlineStr">
        <is>
          <t>Sí</t>
        </is>
      </c>
      <c r="H7" s="44" t="inlineStr">
        <is>
          <t>Comparaciones por zona</t>
        </is>
      </c>
    </row>
    <row r="8" ht="42" customHeight="1" s="45">
      <c r="A8" s="44" t="inlineStr">
        <is>
          <t>tipo_negocio</t>
        </is>
      </c>
      <c r="B8" s="44" t="inlineStr">
        <is>
          <t>Ficha_Cafe</t>
        </is>
      </c>
      <c r="C8" s="44" t="inlineStr">
        <is>
          <t>Identificación</t>
        </is>
      </c>
      <c r="D8" s="44" t="inlineStr">
        <is>
          <t>Tipo de negocio</t>
        </is>
      </c>
      <c r="E8" s="44" t="inlineStr">
        <is>
          <t>categórica</t>
        </is>
      </c>
      <c r="F8" s="44" t="inlineStr">
        <is>
          <t>Independiente (1 local) | Pequeña cadena (2–5 locales) | Cadena grande (6+ locales) | Tostadora con cafetería</t>
        </is>
      </c>
      <c r="G8" s="44" t="inlineStr">
        <is>
          <t>Sí</t>
        </is>
      </c>
      <c r="H8" s="44" t="inlineStr">
        <is>
          <t>Control / comparación por modelo de negocio</t>
        </is>
      </c>
    </row>
    <row r="9" ht="16" customHeight="1" s="45">
      <c r="A9" s="44" t="inlineStr">
        <is>
          <t>fecha</t>
        </is>
      </c>
      <c r="B9" s="44" t="inlineStr">
        <is>
          <t>Ficha_Cafe</t>
        </is>
      </c>
      <c r="C9" s="44" t="inlineStr">
        <is>
          <t>Identificación</t>
        </is>
      </c>
      <c r="D9" s="44" t="inlineStr">
        <is>
          <t>Fecha de la visita</t>
        </is>
      </c>
      <c r="E9" s="44" t="inlineStr">
        <is>
          <t>fecha</t>
        </is>
      </c>
      <c r="F9" s="44" t="inlineStr">
        <is>
          <t>libre</t>
        </is>
      </c>
      <c r="G9" s="44" t="inlineStr">
        <is>
          <t>Sí</t>
        </is>
      </c>
      <c r="H9" s="44" t="inlineStr">
        <is>
          <t>Control de campo</t>
        </is>
      </c>
    </row>
    <row r="10" ht="16" customHeight="1" s="45">
      <c r="A10" s="44" t="inlineStr">
        <is>
          <t>dia_tipo</t>
        </is>
      </c>
      <c r="B10" s="44" t="inlineStr">
        <is>
          <t>Ficha_Cafe</t>
        </is>
      </c>
      <c r="C10" s="44" t="inlineStr">
        <is>
          <t>Identificación</t>
        </is>
      </c>
      <c r="D10" s="44" t="inlineStr">
        <is>
          <t>Tipo de día</t>
        </is>
      </c>
      <c r="E10" s="44" t="inlineStr">
        <is>
          <t>categórica</t>
        </is>
      </c>
      <c r="F10" s="44" t="inlineStr">
        <is>
          <t>Entre semana | Fin de semana</t>
        </is>
      </c>
      <c r="G10" s="44" t="inlineStr">
        <is>
          <t>Sí</t>
        </is>
      </c>
      <c r="H10" s="44" t="inlineStr">
        <is>
          <t>Control (afluencia y perfil de clientes)</t>
        </is>
      </c>
    </row>
    <row r="11" ht="16" customHeight="1" s="45">
      <c r="A11" s="44" t="inlineStr">
        <is>
          <t>franja</t>
        </is>
      </c>
      <c r="B11" s="44" t="inlineStr">
        <is>
          <t>Ficha_Cafe</t>
        </is>
      </c>
      <c r="C11" s="44" t="inlineStr">
        <is>
          <t>Identificación</t>
        </is>
      </c>
      <c r="D11" s="44" t="inlineStr">
        <is>
          <t>Franja horaria de la visita</t>
        </is>
      </c>
      <c r="E11" s="44" t="inlineStr">
        <is>
          <t>categórica</t>
        </is>
      </c>
      <c r="F11" s="44" t="inlineStr">
        <is>
          <t>Mañana (8–11) | Tarde (14–17)</t>
        </is>
      </c>
      <c r="G11" s="44" t="inlineStr">
        <is>
          <t>Sí</t>
        </is>
      </c>
      <c r="H11" s="44" t="inlineStr">
        <is>
          <t>Control</t>
        </is>
      </c>
    </row>
    <row r="12" ht="16" customHeight="1" s="45">
      <c r="A12" s="44" t="inlineStr">
        <is>
          <t>observador</t>
        </is>
      </c>
      <c r="B12" s="44" t="inlineStr">
        <is>
          <t>Ficha_Cafe</t>
        </is>
      </c>
      <c r="C12" s="44" t="inlineStr">
        <is>
          <t>Identificación</t>
        </is>
      </c>
      <c r="D12" s="44" t="inlineStr">
        <is>
          <t>Quién llenó la ficha (A, B o C)</t>
        </is>
      </c>
      <c r="E12" s="44" t="inlineStr">
        <is>
          <t>categórica</t>
        </is>
      </c>
      <c r="F12" s="44" t="inlineStr">
        <is>
          <t>A | B | C</t>
        </is>
      </c>
      <c r="G12" s="44" t="inlineStr">
        <is>
          <t>Sí</t>
        </is>
      </c>
      <c r="H12" s="44" t="inlineStr">
        <is>
          <t>Control de calidad / acuerdo entre observadores</t>
        </is>
      </c>
    </row>
    <row r="13" ht="16" customHeight="1" s="45">
      <c r="A13" s="44" t="inlineStr">
        <is>
          <t>autorizacion_local</t>
        </is>
      </c>
      <c r="B13" s="44" t="inlineStr">
        <is>
          <t>Ficha_Cafe</t>
        </is>
      </c>
      <c r="C13" s="44" t="inlineStr">
        <is>
          <t>Identificación</t>
        </is>
      </c>
      <c r="D13" s="44" t="inlineStr">
        <is>
          <t>El administrador autorizó la visita y las fotos del espacio (1 = sí)</t>
        </is>
      </c>
      <c r="E13" s="44" t="inlineStr">
        <is>
          <t>binaria</t>
        </is>
      </c>
      <c r="F13" s="44" t="inlineStr">
        <is>
          <t>1 = sí · 0 = no</t>
        </is>
      </c>
      <c r="G13" s="44" t="inlineStr">
        <is>
          <t>Sí</t>
        </is>
      </c>
      <c r="H13" s="44" t="inlineStr">
        <is>
          <t>Control ético; activa reemplazos</t>
        </is>
      </c>
    </row>
    <row r="14" ht="29" customHeight="1" s="45">
      <c r="A14" s="44" t="inlineStr">
        <is>
          <t>st1</t>
        </is>
      </c>
      <c r="B14" s="44" t="inlineStr">
        <is>
          <t>Ficha_Cafe</t>
        </is>
      </c>
      <c r="C14" s="44" t="inlineStr">
        <is>
          <t>Storytelling</t>
        </is>
      </c>
      <c r="D14" s="44" t="inlineStr">
        <is>
          <t>La carta o menú menciona el origen del café (región, finca o productor)</t>
        </is>
      </c>
      <c r="E14" s="44" t="inlineStr">
        <is>
          <t>binaria</t>
        </is>
      </c>
      <c r="F14" s="44" t="inlineStr">
        <is>
          <t>1 = presente · 0 = ausente · vacío = no se pudo revisar</t>
        </is>
      </c>
      <c r="G14" s="44" t="inlineStr">
        <is>
          <t>Sí</t>
        </is>
      </c>
      <c r="H14" s="44" t="inlineStr">
        <is>
          <t>Índice de storytelling (variable explicativa)</t>
        </is>
      </c>
    </row>
    <row r="15" ht="29" customHeight="1" s="45">
      <c r="A15" s="44" t="inlineStr">
        <is>
          <t>st2</t>
        </is>
      </c>
      <c r="B15" s="44" t="inlineStr">
        <is>
          <t>Ficha_Cafe</t>
        </is>
      </c>
      <c r="C15" s="44" t="inlineStr">
        <is>
          <t>Storytelling</t>
        </is>
      </c>
      <c r="D15" s="44" t="inlineStr">
        <is>
          <t>Hay explicación visible del proceso o método (carteles, pizarra, barra)</t>
        </is>
      </c>
      <c r="E15" s="44" t="inlineStr">
        <is>
          <t>binaria</t>
        </is>
      </c>
      <c r="F15" s="44" t="inlineStr">
        <is>
          <t>1 = presente · 0 = ausente · vacío = no se pudo revisar</t>
        </is>
      </c>
      <c r="G15" s="44" t="inlineStr">
        <is>
          <t>Sí</t>
        </is>
      </c>
      <c r="H15" s="44" t="inlineStr">
        <is>
          <t>Índice de storytelling (variable explicativa)</t>
        </is>
      </c>
    </row>
    <row r="16" ht="29" customHeight="1" s="45">
      <c r="A16" s="44" t="inlineStr">
        <is>
          <t>st3</t>
        </is>
      </c>
      <c r="B16" s="44" t="inlineStr">
        <is>
          <t>Ficha_Cafe</t>
        </is>
      </c>
      <c r="C16" s="44" t="inlineStr">
        <is>
          <t>Storytelling</t>
        </is>
      </c>
      <c r="D16" s="44" t="inlineStr">
        <is>
          <t>La historia o filosofía del negocio es visible en el local (muro, carta, QR)</t>
        </is>
      </c>
      <c r="E16" s="44" t="inlineStr">
        <is>
          <t>binaria</t>
        </is>
      </c>
      <c r="F16" s="44" t="inlineStr">
        <is>
          <t>1 = presente · 0 = ausente · vacío = no se pudo revisar</t>
        </is>
      </c>
      <c r="G16" s="44" t="inlineStr">
        <is>
          <t>Sí</t>
        </is>
      </c>
      <c r="H16" s="44" t="inlineStr">
        <is>
          <t>Índice de storytelling (variable explicativa)</t>
        </is>
      </c>
    </row>
    <row r="17" ht="29" customHeight="1" s="45">
      <c r="A17" s="44" t="inlineStr">
        <is>
          <t>st4</t>
        </is>
      </c>
      <c r="B17" s="44" t="inlineStr">
        <is>
          <t>Ficha_Cafe</t>
        </is>
      </c>
      <c r="C17" s="44" t="inlineStr">
        <is>
          <t>Storytelling</t>
        </is>
      </c>
      <c r="D17" s="44" t="inlineStr">
        <is>
          <t>Al preguntar «¿de dónde es este café?», el personal responde con un dato específico (región, finca o productor)</t>
        </is>
      </c>
      <c r="E17" s="44" t="inlineStr">
        <is>
          <t>binaria</t>
        </is>
      </c>
      <c r="F17" s="44" t="inlineStr">
        <is>
          <t>1 = presente · 0 = ausente · vacío = no se pudo revisar</t>
        </is>
      </c>
      <c r="G17" s="44" t="inlineStr">
        <is>
          <t>Sí</t>
        </is>
      </c>
      <c r="H17" s="44" t="inlineStr">
        <is>
          <t>Índice de storytelling (variable explicativa)</t>
        </is>
      </c>
    </row>
    <row r="18" ht="29" customHeight="1" s="45">
      <c r="A18" s="44" t="inlineStr">
        <is>
          <t>st5</t>
        </is>
      </c>
      <c r="B18" s="44" t="inlineStr">
        <is>
          <t>Ficha_Cafe</t>
        </is>
      </c>
      <c r="C18" s="44" t="inlineStr">
        <is>
          <t>Storytelling</t>
        </is>
      </c>
      <c r="D18" s="44" t="inlineStr">
        <is>
          <t>Ofrece catas, talleres, recorridos o experiencias guiadas (anunciadas o disponibles)</t>
        </is>
      </c>
      <c r="E18" s="44" t="inlineStr">
        <is>
          <t>binaria</t>
        </is>
      </c>
      <c r="F18" s="44" t="inlineStr">
        <is>
          <t>1 = presente · 0 = ausente · vacío = no se pudo revisar</t>
        </is>
      </c>
      <c r="G18" s="44" t="inlineStr">
        <is>
          <t>Sí</t>
        </is>
      </c>
      <c r="H18" s="44" t="inlineStr">
        <is>
          <t>Índice de storytelling (variable explicativa)</t>
        </is>
      </c>
    </row>
    <row r="19" ht="29" customHeight="1" s="45">
      <c r="A19" s="44" t="inlineStr">
        <is>
          <t>st6</t>
        </is>
      </c>
      <c r="B19" s="44" t="inlineStr">
        <is>
          <t>Ficha_Cafe</t>
        </is>
      </c>
      <c r="C19" s="44" t="inlineStr">
        <is>
          <t>Storytelling</t>
        </is>
      </c>
      <c r="D19" s="44" t="inlineStr">
        <is>
          <t>Vende café en grano o empaque con información de origen y tostión</t>
        </is>
      </c>
      <c r="E19" s="44" t="inlineStr">
        <is>
          <t>binaria</t>
        </is>
      </c>
      <c r="F19" s="44" t="inlineStr">
        <is>
          <t>1 = presente · 0 = ausente · vacío = no se pudo revisar</t>
        </is>
      </c>
      <c r="G19" s="44" t="inlineStr">
        <is>
          <t>Sí</t>
        </is>
      </c>
      <c r="H19" s="44" t="inlineStr">
        <is>
          <t>Índice de storytelling (variable explicativa)</t>
        </is>
      </c>
    </row>
    <row r="20" ht="29" customHeight="1" s="45">
      <c r="A20" s="44" t="inlineStr">
        <is>
          <t>am1</t>
        </is>
      </c>
      <c r="B20" s="44" t="inlineStr">
        <is>
          <t>Ficha_Cafe</t>
        </is>
      </c>
      <c r="C20" s="44" t="inlineStr">
        <is>
          <t>Ambientación</t>
        </is>
      </c>
      <c r="D20" s="44" t="inlineStr">
        <is>
          <t>Identidad visual coherente (diseño, colores, logo, mobiliario)</t>
        </is>
      </c>
      <c r="E20" s="44" t="inlineStr">
        <is>
          <t>binaria</t>
        </is>
      </c>
      <c r="F20" s="44" t="inlineStr">
        <is>
          <t>1 = presente · 0 = ausente · vacío = no se pudo revisar</t>
        </is>
      </c>
      <c r="G20" s="44" t="inlineStr">
        <is>
          <t>Sí</t>
        </is>
      </c>
      <c r="H20" s="44" t="inlineStr">
        <is>
          <t>Índice de ambientación (variable explicativa)</t>
        </is>
      </c>
    </row>
    <row r="21" ht="29" customHeight="1" s="45">
      <c r="A21" s="44" t="inlineStr">
        <is>
          <t>am2</t>
        </is>
      </c>
      <c r="B21" s="44" t="inlineStr">
        <is>
          <t>Ficha_Cafe</t>
        </is>
      </c>
      <c r="C21" s="44" t="inlineStr">
        <is>
          <t>Ambientación</t>
        </is>
      </c>
      <c r="D21" s="44" t="inlineStr">
        <is>
          <t>Iluminación agradable (natural o cálida)</t>
        </is>
      </c>
      <c r="E21" s="44" t="inlineStr">
        <is>
          <t>binaria</t>
        </is>
      </c>
      <c r="F21" s="44" t="inlineStr">
        <is>
          <t>1 = presente · 0 = ausente · vacío = no se pudo revisar</t>
        </is>
      </c>
      <c r="G21" s="44" t="inlineStr">
        <is>
          <t>Sí</t>
        </is>
      </c>
      <c r="H21" s="44" t="inlineStr">
        <is>
          <t>Índice de ambientación (variable explicativa)</t>
        </is>
      </c>
    </row>
    <row r="22" ht="29" customHeight="1" s="45">
      <c r="A22" s="44" t="inlineStr">
        <is>
          <t>am3</t>
        </is>
      </c>
      <c r="B22" s="44" t="inlineStr">
        <is>
          <t>Ficha_Cafe</t>
        </is>
      </c>
      <c r="C22" s="44" t="inlineStr">
        <is>
          <t>Ambientación</t>
        </is>
      </c>
      <c r="D22" s="44" t="inlineStr">
        <is>
          <t>Música ambiente presente y a un volumen que permite conversar</t>
        </is>
      </c>
      <c r="E22" s="44" t="inlineStr">
        <is>
          <t>binaria</t>
        </is>
      </c>
      <c r="F22" s="44" t="inlineStr">
        <is>
          <t>1 = presente · 0 = ausente · vacío = no se pudo revisar</t>
        </is>
      </c>
      <c r="G22" s="44" t="inlineStr">
        <is>
          <t>Sí</t>
        </is>
      </c>
      <c r="H22" s="44" t="inlineStr">
        <is>
          <t>Índice de ambientación (variable explicativa)</t>
        </is>
      </c>
    </row>
    <row r="23" ht="29" customHeight="1" s="45">
      <c r="A23" s="44" t="inlineStr">
        <is>
          <t>am4</t>
        </is>
      </c>
      <c r="B23" s="44" t="inlineStr">
        <is>
          <t>Ficha_Cafe</t>
        </is>
      </c>
      <c r="C23" s="44" t="inlineStr">
        <is>
          <t>Ambientación</t>
        </is>
      </c>
      <c r="D23" s="44" t="inlineStr">
        <is>
          <t>Aroma a café perceptible al entrar</t>
        </is>
      </c>
      <c r="E23" s="44" t="inlineStr">
        <is>
          <t>binaria</t>
        </is>
      </c>
      <c r="F23" s="44" t="inlineStr">
        <is>
          <t>1 = presente · 0 = ausente · vacío = no se pudo revisar</t>
        </is>
      </c>
      <c r="G23" s="44" t="inlineStr">
        <is>
          <t>Sí</t>
        </is>
      </c>
      <c r="H23" s="44" t="inlineStr">
        <is>
          <t>Índice de ambientación (variable explicativa)</t>
        </is>
      </c>
    </row>
    <row r="24" ht="29" customHeight="1" s="45">
      <c r="A24" s="44" t="inlineStr">
        <is>
          <t>am5</t>
        </is>
      </c>
      <c r="B24" s="44" t="inlineStr">
        <is>
          <t>Ficha_Cafe</t>
        </is>
      </c>
      <c r="C24" s="44" t="inlineStr">
        <is>
          <t>Ambientación</t>
        </is>
      </c>
      <c r="D24" s="44" t="inlineStr">
        <is>
          <t>Zonas diferenciadas (barra, mesas, zona de trabajo, exterior)</t>
        </is>
      </c>
      <c r="E24" s="44" t="inlineStr">
        <is>
          <t>binaria</t>
        </is>
      </c>
      <c r="F24" s="44" t="inlineStr">
        <is>
          <t>1 = presente · 0 = ausente · vacío = no se pudo revisar</t>
        </is>
      </c>
      <c r="G24" s="44" t="inlineStr">
        <is>
          <t>Sí</t>
        </is>
      </c>
      <c r="H24" s="44" t="inlineStr">
        <is>
          <t>Índice de ambientación (variable explicativa)</t>
        </is>
      </c>
    </row>
    <row r="25" ht="29" customHeight="1" s="45">
      <c r="A25" s="44" t="inlineStr">
        <is>
          <t>am6</t>
        </is>
      </c>
      <c r="B25" s="44" t="inlineStr">
        <is>
          <t>Ficha_Cafe</t>
        </is>
      </c>
      <c r="C25" s="44" t="inlineStr">
        <is>
          <t>Ambientación</t>
        </is>
      </c>
      <c r="D25" s="44" t="inlineStr">
        <is>
          <t>Mobiliario cómodo (sillas con espaldar, sofás, mesas suficientes)</t>
        </is>
      </c>
      <c r="E25" s="44" t="inlineStr">
        <is>
          <t>binaria</t>
        </is>
      </c>
      <c r="F25" s="44" t="inlineStr">
        <is>
          <t>1 = presente · 0 = ausente · vacío = no se pudo revisar</t>
        </is>
      </c>
      <c r="G25" s="44" t="inlineStr">
        <is>
          <t>Sí</t>
        </is>
      </c>
      <c r="H25" s="44" t="inlineStr">
        <is>
          <t>Índice de ambientación (variable explicativa)</t>
        </is>
      </c>
    </row>
    <row r="26" ht="29" customHeight="1" s="45">
      <c r="A26" s="44" t="inlineStr">
        <is>
          <t>am7</t>
        </is>
      </c>
      <c r="B26" s="44" t="inlineStr">
        <is>
          <t>Ficha_Cafe</t>
        </is>
      </c>
      <c r="C26" s="44" t="inlineStr">
        <is>
          <t>Ambientación</t>
        </is>
      </c>
      <c r="D26" s="44" t="inlineStr">
        <is>
          <t>Barra de preparación a la vista del cliente</t>
        </is>
      </c>
      <c r="E26" s="44" t="inlineStr">
        <is>
          <t>binaria</t>
        </is>
      </c>
      <c r="F26" s="44" t="inlineStr">
        <is>
          <t>1 = presente · 0 = ausente · vacío = no se pudo revisar</t>
        </is>
      </c>
      <c r="G26" s="44" t="inlineStr">
        <is>
          <t>Sí</t>
        </is>
      </c>
      <c r="H26" s="44" t="inlineStr">
        <is>
          <t>Índice de ambientación (variable explicativa)</t>
        </is>
      </c>
    </row>
    <row r="27" ht="29" customHeight="1" s="45">
      <c r="A27" s="44" t="inlineStr">
        <is>
          <t>am8</t>
        </is>
      </c>
      <c r="B27" s="44" t="inlineStr">
        <is>
          <t>Ficha_Cafe</t>
        </is>
      </c>
      <c r="C27" s="44" t="inlineStr">
        <is>
          <t>Ambientación</t>
        </is>
      </c>
      <c r="D27" s="44" t="inlineStr">
        <is>
          <t>Elementos decorativos alusivos al café (origen, utensilios, plantas, arte)</t>
        </is>
      </c>
      <c r="E27" s="44" t="inlineStr">
        <is>
          <t>binaria</t>
        </is>
      </c>
      <c r="F27" s="44" t="inlineStr">
        <is>
          <t>1 = presente · 0 = ausente · vacío = no se pudo revisar</t>
        </is>
      </c>
      <c r="G27" s="44" t="inlineStr">
        <is>
          <t>Sí</t>
        </is>
      </c>
      <c r="H27" s="44" t="inlineStr">
        <is>
          <t>Índice de ambientación (variable explicativa)</t>
        </is>
      </c>
    </row>
    <row r="28" ht="29" customHeight="1" s="45">
      <c r="A28" s="44" t="inlineStr">
        <is>
          <t>idx_story</t>
        </is>
      </c>
      <c r="B28" s="44" t="inlineStr">
        <is>
          <t>Ficha_Cafe</t>
        </is>
      </c>
      <c r="C28" s="44" t="inlineStr">
        <is>
          <t>Índices (se calculan solos)</t>
        </is>
      </c>
      <c r="D28" s="44" t="inlineStr">
        <is>
          <t>Índice de storytelling = st1+…+st6 (0–6); vacío si falta algún ítem</t>
        </is>
      </c>
      <c r="E28" s="44" t="inlineStr">
        <is>
          <t>calculada</t>
        </is>
      </c>
      <c r="F28" s="44" t="inlineStr">
        <is>
          <t>fórmula automática</t>
        </is>
      </c>
      <c r="G28" s="44" t="inlineStr">
        <is>
          <t>Auto</t>
        </is>
      </c>
      <c r="H28" s="44" t="inlineStr">
        <is>
          <t>Variable explicativa principal (pesos iguales; se reportan también los ítems por separado)</t>
        </is>
      </c>
    </row>
    <row r="29" ht="29" customHeight="1" s="45">
      <c r="A29" s="44" t="inlineStr">
        <is>
          <t>idx_amb</t>
        </is>
      </c>
      <c r="B29" s="44" t="inlineStr">
        <is>
          <t>Ficha_Cafe</t>
        </is>
      </c>
      <c r="C29" s="44" t="inlineStr">
        <is>
          <t>Índices (se calculan solos)</t>
        </is>
      </c>
      <c r="D29" s="44" t="inlineStr">
        <is>
          <t>Índice de ambientación = am1+…+am8 (0–8); vacío si falta algún ítem</t>
        </is>
      </c>
      <c r="E29" s="44" t="inlineStr">
        <is>
          <t>calculada</t>
        </is>
      </c>
      <c r="F29" s="44" t="inlineStr">
        <is>
          <t>fórmula automática</t>
        </is>
      </c>
      <c r="G29" s="44" t="inlineStr">
        <is>
          <t>Auto</t>
        </is>
      </c>
      <c r="H29" s="44" t="inlineStr">
        <is>
          <t>Variable explicativa principal (pesos iguales; se reportan también los ítems por separado)</t>
        </is>
      </c>
    </row>
    <row r="30" ht="16" customHeight="1" s="45">
      <c r="A30" s="44" t="inlineStr">
        <is>
          <t>idx_story_10</t>
        </is>
      </c>
      <c r="B30" s="44" t="inlineStr">
        <is>
          <t>Ficha_Cafe</t>
        </is>
      </c>
      <c r="C30" s="44" t="inlineStr">
        <is>
          <t>Índices (se calculan solos)</t>
        </is>
      </c>
      <c r="D30" s="44" t="inlineStr">
        <is>
          <t>Índice de storytelling reescalado 0–10</t>
        </is>
      </c>
      <c r="E30" s="44" t="inlineStr">
        <is>
          <t>calculada</t>
        </is>
      </c>
      <c r="F30" s="44" t="inlineStr">
        <is>
          <t>fórmula automática</t>
        </is>
      </c>
      <c r="G30" s="44" t="inlineStr">
        <is>
          <t>Auto</t>
        </is>
      </c>
      <c r="H30" s="44" t="inlineStr">
        <is>
          <t>Presentación en gráficos y tablas</t>
        </is>
      </c>
    </row>
    <row r="31" ht="16" customHeight="1" s="45">
      <c r="A31" s="44" t="inlineStr">
        <is>
          <t>idx_amb_10</t>
        </is>
      </c>
      <c r="B31" s="44" t="inlineStr">
        <is>
          <t>Ficha_Cafe</t>
        </is>
      </c>
      <c r="C31" s="44" t="inlineStr">
        <is>
          <t>Índices (se calculan solos)</t>
        </is>
      </c>
      <c r="D31" s="44" t="inlineStr">
        <is>
          <t>Índice de ambientación reescalado 0–10</t>
        </is>
      </c>
      <c r="E31" s="44" t="inlineStr">
        <is>
          <t>calculada</t>
        </is>
      </c>
      <c r="F31" s="44" t="inlineStr">
        <is>
          <t>fórmula automática</t>
        </is>
      </c>
      <c r="G31" s="44" t="inlineStr">
        <is>
          <t>Auto</t>
        </is>
      </c>
      <c r="H31" s="44" t="inlineStr">
        <is>
          <t>Presentación en gráficos y tablas</t>
        </is>
      </c>
    </row>
    <row r="32" ht="16" customHeight="1" s="45">
      <c r="A32" s="44" t="inlineStr">
        <is>
          <t>ficha_completa</t>
        </is>
      </c>
      <c r="B32" s="44" t="inlineStr">
        <is>
          <t>Ficha_Cafe</t>
        </is>
      </c>
      <c r="C32" s="44" t="inlineStr">
        <is>
          <t>Índices (se calculan solos)</t>
        </is>
      </c>
      <c r="D32" s="44" t="inlineStr">
        <is>
          <t>Control: cuántos de los 14 ítems están registrados</t>
        </is>
      </c>
      <c r="E32" s="44" t="inlineStr">
        <is>
          <t>calculada</t>
        </is>
      </c>
      <c r="F32" s="44" t="inlineStr">
        <is>
          <t>fórmula automática</t>
        </is>
      </c>
      <c r="G32" s="44" t="inlineStr">
        <is>
          <t>Auto</t>
        </is>
      </c>
      <c r="H32" s="44" t="inlineStr">
        <is>
          <t>Distingue fichas incompletas de ceros reales</t>
        </is>
      </c>
    </row>
    <row r="33" ht="29" customHeight="1" s="45">
      <c r="A33" s="44" t="inlineStr">
        <is>
          <t>tiene_instagram</t>
        </is>
      </c>
      <c r="B33" s="44" t="inlineStr">
        <is>
          <t>Ficha_Cafe</t>
        </is>
      </c>
      <c r="C33" s="44" t="inlineStr">
        <is>
          <t>Presencia digital</t>
        </is>
      </c>
      <c r="D33" s="44" t="inlineStr">
        <is>
          <t>Tiene cuenta de Instagram activa (publicación en los últimos 90 días) (1 = sí)</t>
        </is>
      </c>
      <c r="E33" s="44" t="inlineStr">
        <is>
          <t>binaria</t>
        </is>
      </c>
      <c r="F33" s="44" t="inlineStr">
        <is>
          <t>1 = sí · 0 = no</t>
        </is>
      </c>
      <c r="G33" s="44" t="inlineStr">
        <is>
          <t>Sí</t>
        </is>
      </c>
      <c r="H33" s="44" t="inlineStr">
        <is>
          <t>Relación experiencia física–presencia digital</t>
        </is>
      </c>
    </row>
    <row r="34" ht="16" customHeight="1" s="45">
      <c r="A34" s="44" t="inlineStr">
        <is>
          <t>google_rating</t>
        </is>
      </c>
      <c r="B34" s="44" t="inlineStr">
        <is>
          <t>Ficha_Cafe</t>
        </is>
      </c>
      <c r="C34" s="44" t="inlineStr">
        <is>
          <t>Presencia digital</t>
        </is>
      </c>
      <c r="D34" s="44" t="inlineStr">
        <is>
          <t>Calificación en Google Maps (1.0–5.0)</t>
        </is>
      </c>
      <c r="E34" s="44" t="inlineStr">
        <is>
          <t>numérica</t>
        </is>
      </c>
      <c r="F34" s="44" t="inlineStr">
        <is>
          <t>1–5</t>
        </is>
      </c>
      <c r="G34" s="44" t="inlineStr">
        <is>
          <t>No</t>
        </is>
      </c>
      <c r="H34" s="44" t="inlineStr">
        <is>
          <t>Posicionamiento digital (dato público)</t>
        </is>
      </c>
    </row>
    <row r="35" ht="16" customHeight="1" s="45">
      <c r="A35" s="44" t="inlineStr">
        <is>
          <t>google_resenas</t>
        </is>
      </c>
      <c r="B35" s="44" t="inlineStr">
        <is>
          <t>Ficha_Cafe</t>
        </is>
      </c>
      <c r="C35" s="44" t="inlineStr">
        <is>
          <t>Presencia digital</t>
        </is>
      </c>
      <c r="D35" s="44" t="inlineStr">
        <is>
          <t>Número de reseñas en Google Maps</t>
        </is>
      </c>
      <c r="E35" s="44" t="inlineStr">
        <is>
          <t>numérica</t>
        </is>
      </c>
      <c r="F35" s="44" t="inlineStr">
        <is>
          <t>≥ 0</t>
        </is>
      </c>
      <c r="G35" s="44" t="inlineStr">
        <is>
          <t>No</t>
        </is>
      </c>
      <c r="H35" s="44" t="inlineStr">
        <is>
          <t>Posicionamiento digital (dato público)</t>
        </is>
      </c>
    </row>
    <row r="36" ht="16" customHeight="1" s="45">
      <c r="A36" s="44" t="inlineStr">
        <is>
          <t>fotos_ok</t>
        </is>
      </c>
      <c r="B36" s="44" t="inlineStr">
        <is>
          <t>Ficha_Cafe</t>
        </is>
      </c>
      <c r="C36" s="44" t="inlineStr">
        <is>
          <t>Notas y evidencia</t>
        </is>
      </c>
      <c r="D36" s="44" t="inlineStr">
        <is>
          <t>Se tomaron fotos del espacio sin personas identificables (1 = sí)</t>
        </is>
      </c>
      <c r="E36" s="44" t="inlineStr">
        <is>
          <t>binaria</t>
        </is>
      </c>
      <c r="F36" s="44" t="inlineStr">
        <is>
          <t>1 = sí · 0 = no</t>
        </is>
      </c>
      <c r="G36" s="44" t="inlineStr">
        <is>
          <t>Sí</t>
        </is>
      </c>
      <c r="H36" s="44" t="inlineStr">
        <is>
          <t>Control ético y de evidencia</t>
        </is>
      </c>
    </row>
    <row r="37" ht="16" customHeight="1" s="45">
      <c r="A37" s="44" t="inlineStr">
        <is>
          <t>obs_texto</t>
        </is>
      </c>
      <c r="B37" s="44" t="inlineStr">
        <is>
          <t>Ficha_Cafe</t>
        </is>
      </c>
      <c r="C37" s="44" t="inlineStr">
        <is>
          <t>Notas y evidencia</t>
        </is>
      </c>
      <c r="D37" s="44" t="inlineStr">
        <is>
          <t>Observaciones cualitativas (hechos relevantes; ítems no revisados)</t>
        </is>
      </c>
      <c r="E37" s="44" t="inlineStr">
        <is>
          <t>texto</t>
        </is>
      </c>
      <c r="F37" s="44" t="inlineStr">
        <is>
          <t>libre</t>
        </is>
      </c>
      <c r="G37" s="44" t="inlineStr">
        <is>
          <t>No</t>
        </is>
      </c>
      <c r="H37" s="44" t="inlineStr">
        <is>
          <t>Informe de trabajo de campo (Entrega 4)</t>
        </is>
      </c>
    </row>
    <row r="38" ht="16" customHeight="1" s="45">
      <c r="A38" s="44" t="inlineStr">
        <is>
          <t>enc_id</t>
        </is>
      </c>
      <c r="B38" s="44" t="inlineStr">
        <is>
          <t>Encuestas</t>
        </is>
      </c>
      <c r="C38" s="44" t="inlineStr">
        <is>
          <t>Control</t>
        </is>
      </c>
      <c r="D38" s="44" t="inlineStr">
        <is>
          <t>ID único de la encuesta (E-cafe-número, p. ej. E-C01-01)</t>
        </is>
      </c>
      <c r="E38" s="44" t="inlineStr">
        <is>
          <t>texto</t>
        </is>
      </c>
      <c r="F38" s="44" t="inlineStr">
        <is>
          <t>libre</t>
        </is>
      </c>
      <c r="G38" s="44" t="inlineStr">
        <is>
          <t>Sí</t>
        </is>
      </c>
      <c r="H38" s="44" t="inlineStr">
        <is>
          <t>Llave primaria</t>
        </is>
      </c>
    </row>
    <row r="39" ht="16" customHeight="1" s="45">
      <c r="A39" s="44" t="inlineStr">
        <is>
          <t>cafe_id</t>
        </is>
      </c>
      <c r="B39" s="44" t="inlineStr">
        <is>
          <t>Encuestas</t>
        </is>
      </c>
      <c r="C39" s="44" t="inlineStr">
        <is>
          <t>Control</t>
        </is>
      </c>
      <c r="D39" s="44" t="inlineStr">
        <is>
          <t>ID del café donde se hizo la encuesta</t>
        </is>
      </c>
      <c r="E39" s="44" t="inlineStr">
        <is>
          <t>texto</t>
        </is>
      </c>
      <c r="F39" s="44" t="inlineStr">
        <is>
          <t>C01–C10, R1–R3, P1</t>
        </is>
      </c>
      <c r="G39" s="44" t="inlineStr">
        <is>
          <t>Sí</t>
        </is>
      </c>
      <c r="H39" s="44" t="inlineStr">
        <is>
          <t>Unión con Ficha_Cafe</t>
        </is>
      </c>
    </row>
    <row r="40" ht="16" customHeight="1" s="45">
      <c r="A40" s="44" t="inlineStr">
        <is>
          <t>fecha</t>
        </is>
      </c>
      <c r="B40" s="44" t="inlineStr">
        <is>
          <t>Encuestas</t>
        </is>
      </c>
      <c r="C40" s="44" t="inlineStr">
        <is>
          <t>Control</t>
        </is>
      </c>
      <c r="D40" s="44" t="inlineStr">
        <is>
          <t>Fecha</t>
        </is>
      </c>
      <c r="E40" s="44" t="inlineStr">
        <is>
          <t>fecha</t>
        </is>
      </c>
      <c r="F40" s="44" t="inlineStr">
        <is>
          <t>libre</t>
        </is>
      </c>
      <c r="G40" s="44" t="inlineStr">
        <is>
          <t>Sí</t>
        </is>
      </c>
      <c r="H40" s="44" t="inlineStr">
        <is>
          <t>Control</t>
        </is>
      </c>
    </row>
    <row r="41" ht="29" customHeight="1" s="45">
      <c r="A41" s="44" t="inlineStr">
        <is>
          <t>hora</t>
        </is>
      </c>
      <c r="B41" s="44" t="inlineStr">
        <is>
          <t>Encuestas</t>
        </is>
      </c>
      <c r="C41" s="44" t="inlineStr">
        <is>
          <t>Control</t>
        </is>
      </c>
      <c r="D41" s="44" t="inlineStr">
        <is>
          <t>Hora de inicio (HH:MM)</t>
        </is>
      </c>
      <c r="E41" s="44" t="inlineStr">
        <is>
          <t>texto</t>
        </is>
      </c>
      <c r="F41" s="44" t="inlineStr">
        <is>
          <t>HH:MM en 24 h (p. ej. 09:40); la columna está en formato texto</t>
        </is>
      </c>
      <c r="G41" s="44" t="inlineStr">
        <is>
          <t>Sí</t>
        </is>
      </c>
      <c r="H41" s="44" t="inlineStr">
        <is>
          <t>Control (hora del día)</t>
        </is>
      </c>
    </row>
    <row r="42" ht="16" customHeight="1" s="45">
      <c r="A42" s="44" t="inlineStr">
        <is>
          <t>encuestador</t>
        </is>
      </c>
      <c r="B42" s="44" t="inlineStr">
        <is>
          <t>Encuestas</t>
        </is>
      </c>
      <c r="C42" s="44" t="inlineStr">
        <is>
          <t>Control</t>
        </is>
      </c>
      <c r="D42" s="44" t="inlineStr">
        <is>
          <t>Quién aplicó la encuesta (A, B o C)</t>
        </is>
      </c>
      <c r="E42" s="44" t="inlineStr">
        <is>
          <t>categórica</t>
        </is>
      </c>
      <c r="F42" s="44" t="inlineStr">
        <is>
          <t>A | B | C</t>
        </is>
      </c>
      <c r="G42" s="44" t="inlineStr">
        <is>
          <t>Sí</t>
        </is>
      </c>
      <c r="H42" s="44" t="inlineStr">
        <is>
          <t>Control de calidad</t>
        </is>
      </c>
    </row>
    <row r="43" ht="29" customHeight="1" s="45">
      <c r="A43" s="44" t="inlineStr">
        <is>
          <t>consentimiento</t>
        </is>
      </c>
      <c r="B43" s="44" t="inlineStr">
        <is>
          <t>Encuestas</t>
        </is>
      </c>
      <c r="C43" s="44" t="inlineStr">
        <is>
          <t>Control</t>
        </is>
      </c>
      <c r="D43" s="44" t="inlineStr">
        <is>
          <t>La persona es mayor de edad y aceptó participar (1 = sí). Los rechazos y abandonos NO se registran aquí sino en la hoja Abordajes</t>
        </is>
      </c>
      <c r="E43" s="44" t="inlineStr">
        <is>
          <t>binaria</t>
        </is>
      </c>
      <c r="F43" s="44" t="inlineStr">
        <is>
          <t>1 = sí · 0 = no</t>
        </is>
      </c>
      <c r="G43" s="44" t="inlineStr">
        <is>
          <t>Sí</t>
        </is>
      </c>
      <c r="H43" s="44" t="inlineStr">
        <is>
          <t>Solo se registra la encuesta si es 1</t>
        </is>
      </c>
    </row>
    <row r="44" ht="29" customHeight="1" s="45">
      <c r="A44" s="44" t="inlineStr">
        <is>
          <t>freq_visita</t>
        </is>
      </c>
      <c r="B44" s="44" t="inlineStr">
        <is>
          <t>Encuestas</t>
        </is>
      </c>
      <c r="C44" s="44" t="inlineStr">
        <is>
          <t>A. Su visita</t>
        </is>
      </c>
      <c r="D44" s="44" t="inlineStr">
        <is>
          <t>1. ¿Con qué frecuencia viene a este café?</t>
        </is>
      </c>
      <c r="E44" s="44" t="inlineStr">
        <is>
          <t>categórica</t>
        </is>
      </c>
      <c r="F44" s="44" t="inlineStr">
        <is>
          <t>Primera vez | Menos de 1 vez al mes | 1–3 veces al mes | Semanal</t>
        </is>
      </c>
      <c r="G44" s="44" t="inlineStr">
        <is>
          <t>Sí</t>
        </is>
      </c>
      <c r="H44" s="44" t="inlineStr">
        <is>
          <t>Control de lealtad previa; descriptivo de demanda</t>
        </is>
      </c>
    </row>
    <row r="45" ht="42" customHeight="1" s="45">
      <c r="A45" s="44" t="inlineStr">
        <is>
          <t>motivo_visita</t>
        </is>
      </c>
      <c r="B45" s="44" t="inlineStr">
        <is>
          <t>Encuestas</t>
        </is>
      </c>
      <c r="C45" s="44" t="inlineStr">
        <is>
          <t>A. Su visita</t>
        </is>
      </c>
      <c r="D45" s="44" t="inlineStr">
        <is>
          <t>2. ¿Cuál es el motivo principal de su visita de hoy?</t>
        </is>
      </c>
      <c r="E45" s="44" t="inlineStr">
        <is>
          <t>categórica</t>
        </is>
      </c>
      <c r="F45" s="44" t="inlineStr">
        <is>
          <t>Trabajo o estudio | Reunión social | Probar café de especialidad | Salir de la rutina | Otro</t>
        </is>
      </c>
      <c r="G45" s="44" t="inlineStr">
        <is>
          <t>Sí</t>
        </is>
      </c>
      <c r="H45" s="44" t="inlineStr">
        <is>
          <t>Segmentación por motivo de consumo</t>
        </is>
      </c>
    </row>
    <row r="46" ht="29" customHeight="1" s="45">
      <c r="A46" s="44" t="inlineStr">
        <is>
          <t>como_conocio</t>
        </is>
      </c>
      <c r="B46" s="44" t="inlineStr">
        <is>
          <t>Encuestas</t>
        </is>
      </c>
      <c r="C46" s="44" t="inlineStr">
        <is>
          <t>A. Su visita</t>
        </is>
      </c>
      <c r="D46" s="44" t="inlineStr">
        <is>
          <t>3. ¿Cómo conoció este café?</t>
        </is>
      </c>
      <c r="E46" s="44" t="inlineStr">
        <is>
          <t>categórica</t>
        </is>
      </c>
      <c r="F46" s="44" t="inlineStr">
        <is>
          <t>Redes sociales | Recomendación | Pasó por el lugar | Google Maps u otra app | Otro</t>
        </is>
      </c>
      <c r="G46" s="44" t="inlineStr">
        <is>
          <t>Sí</t>
        </is>
      </c>
      <c r="H46" s="44" t="inlineStr">
        <is>
          <t>Experiencia física vs. presencia digital</t>
        </is>
      </c>
    </row>
    <row r="47" ht="16" customHeight="1" s="45">
      <c r="A47" s="44" t="inlineStr">
        <is>
          <t>minutos_permanencia</t>
        </is>
      </c>
      <c r="B47" s="44" t="inlineStr">
        <is>
          <t>Encuestas</t>
        </is>
      </c>
      <c r="C47" s="44" t="inlineStr">
        <is>
          <t>A. Su visita</t>
        </is>
      </c>
      <c r="D47" s="44" t="inlineStr">
        <is>
          <t>4. ¿Cuánto tiempo planea quedarse hoy? (minutos aproximados)</t>
        </is>
      </c>
      <c r="E47" s="44" t="inlineStr">
        <is>
          <t>categórica</t>
        </is>
      </c>
      <c r="F47" s="44" t="inlineStr">
        <is>
          <t>Menos de 15 minutos | 15-30 minutos | 30-60 minutos | Más de 1 hora</t>
        </is>
      </c>
      <c r="G47" s="44" t="inlineStr">
        <is>
          <t>Sí</t>
        </is>
      </c>
      <c r="H47" s="44" t="inlineStr">
        <is>
          <t>Descriptivo de uso del espacio</t>
        </is>
      </c>
    </row>
    <row r="48" ht="16" customHeight="1" s="45">
      <c r="A48" s="44" t="inlineStr">
        <is>
          <t>per_ambiente</t>
        </is>
      </c>
      <c r="B48" s="44" t="inlineStr">
        <is>
          <t>Encuestas</t>
        </is>
      </c>
      <c r="C48" s="44" t="inlineStr">
        <is>
          <t>B. Su percepción de ESTE café</t>
        </is>
      </c>
      <c r="D48" s="44" t="inlineStr">
        <is>
          <t>6. El ambiente de este café es agradable</t>
        </is>
      </c>
      <c r="E48" s="44" t="inlineStr">
        <is>
          <t>escala 1–5</t>
        </is>
      </c>
      <c r="F48" s="44" t="inlineStr">
        <is>
          <t>1, 2, 3, 4, 5</t>
        </is>
      </c>
      <c r="G48" s="44" t="inlineStr">
        <is>
          <t>Sí</t>
        </is>
      </c>
      <c r="H48" s="44" t="inlineStr">
        <is>
          <t>Percepción de ambientación (se contrasta con idx_amb)</t>
        </is>
      </c>
    </row>
    <row r="49" ht="16" customHeight="1" s="45">
      <c r="A49" s="44" t="inlineStr">
        <is>
          <t>per_distintivo</t>
        </is>
      </c>
      <c r="B49" s="44" t="inlineStr">
        <is>
          <t>Encuestas</t>
        </is>
      </c>
      <c r="C49" s="44" t="inlineStr">
        <is>
          <t>B. Su percepción de ESTE café</t>
        </is>
      </c>
      <c r="D49" s="44" t="inlineStr">
        <is>
          <t>7. Este café se siente distinto a otras cafeterías de especialidad</t>
        </is>
      </c>
      <c r="E49" s="44" t="inlineStr">
        <is>
          <t>escala 1–5</t>
        </is>
      </c>
      <c r="F49" s="44" t="inlineStr">
        <is>
          <t>1, 2, 3, 4, 5</t>
        </is>
      </c>
      <c r="G49" s="44" t="inlineStr">
        <is>
          <t>Sí</t>
        </is>
      </c>
      <c r="H49" s="44" t="inlineStr">
        <is>
          <t>Diferenciación percibida (resultado)</t>
        </is>
      </c>
    </row>
    <row r="50" ht="29" customHeight="1" s="45">
      <c r="A50" s="44" t="inlineStr">
        <is>
          <t>per_origen</t>
        </is>
      </c>
      <c r="B50" s="44" t="inlineStr">
        <is>
          <t>Encuestas</t>
        </is>
      </c>
      <c r="C50" s="44" t="inlineStr">
        <is>
          <t>B. Su percepción de ESTE café</t>
        </is>
      </c>
      <c r="D50" s="44" t="inlineStr">
        <is>
          <t>8. En este café me han explicado o he podido conocer el origen del café</t>
        </is>
      </c>
      <c r="E50" s="44" t="inlineStr">
        <is>
          <t>binaria</t>
        </is>
      </c>
      <c r="F50" s="44" t="inlineStr">
        <is>
          <t>1 = sí · 0 = no</t>
        </is>
      </c>
      <c r="G50" s="44" t="inlineStr">
        <is>
          <t>Sí</t>
        </is>
      </c>
      <c r="H50" s="44" t="inlineStr">
        <is>
          <t>Percepción de storytelling (se contrasta con idx_story)</t>
        </is>
      </c>
    </row>
    <row r="51" ht="29" customHeight="1" s="45">
      <c r="A51" s="44" t="inlineStr">
        <is>
          <t>per_historia</t>
        </is>
      </c>
      <c r="B51" s="44" t="inlineStr">
        <is>
          <t>Encuestas</t>
        </is>
      </c>
      <c r="C51" s="44" t="inlineStr">
        <is>
          <t>B. Su percepción de ESTE café</t>
        </is>
      </c>
      <c r="D51" s="44" t="inlineStr">
        <is>
          <t>9. La historia de este café me resulta interesante o me conecta con él</t>
        </is>
      </c>
      <c r="E51" s="44" t="inlineStr">
        <is>
          <t>escala 1–5</t>
        </is>
      </c>
      <c r="F51" s="44" t="inlineStr">
        <is>
          <t>1, 2, 3, 4, 5</t>
        </is>
      </c>
      <c r="G51" s="44" t="inlineStr">
        <is>
          <t>Sí</t>
        </is>
      </c>
      <c r="H51" s="44" t="inlineStr">
        <is>
          <t>Percepción de storytelling (resultado/contraste)</t>
        </is>
      </c>
    </row>
    <row r="52" ht="16" customHeight="1" s="45">
      <c r="A52" s="44" t="inlineStr">
        <is>
          <t>per_calidad</t>
        </is>
      </c>
      <c r="B52" s="44" t="inlineStr">
        <is>
          <t>Encuestas</t>
        </is>
      </c>
      <c r="C52" s="44" t="inlineStr">
        <is>
          <t>B. Su percepción de ESTE café</t>
        </is>
      </c>
      <c r="D52" s="44" t="inlineStr">
        <is>
          <t>10. La calidad del café aquí es alta</t>
        </is>
      </c>
      <c r="E52" s="44" t="inlineStr">
        <is>
          <t>escala 1–5</t>
        </is>
      </c>
      <c r="F52" s="44" t="inlineStr">
        <is>
          <t>1, 2, 3, 4, 5</t>
        </is>
      </c>
      <c r="G52" s="44" t="inlineStr">
        <is>
          <t>Sí</t>
        </is>
      </c>
      <c r="H52" s="44" t="inlineStr">
        <is>
          <t>Control de calidad percibida</t>
        </is>
      </c>
    </row>
    <row r="53" ht="16" customHeight="1" s="45">
      <c r="A53" s="44" t="inlineStr">
        <is>
          <t>per_atencion</t>
        </is>
      </c>
      <c r="B53" s="44" t="inlineStr">
        <is>
          <t>Encuestas</t>
        </is>
      </c>
      <c r="C53" s="44" t="inlineStr">
        <is>
          <t>B. Su percepción de ESTE café</t>
        </is>
      </c>
      <c r="D53" s="44" t="inlineStr">
        <is>
          <t>11. La atención aquí es rápida y amable</t>
        </is>
      </c>
      <c r="E53" s="44" t="inlineStr">
        <is>
          <t>escala 1–5</t>
        </is>
      </c>
      <c r="F53" s="44" t="inlineStr">
        <is>
          <t>1, 2, 3, 4, 5</t>
        </is>
      </c>
      <c r="G53" s="44" t="inlineStr">
        <is>
          <t>Sí</t>
        </is>
      </c>
      <c r="H53" s="44" t="inlineStr">
        <is>
          <t>Control de servicio percibido</t>
        </is>
      </c>
    </row>
    <row r="54" ht="42" customHeight="1" s="45">
      <c r="A54" s="60" t="inlineStr">
        <is>
          <t>per_descripcion</t>
        </is>
      </c>
      <c r="B54" s="60" t="inlineStr">
        <is>
          <t>Encuestas</t>
        </is>
      </c>
      <c r="C54" s="60" t="inlineStr">
        <is>
          <t>B. Su percepción de ESTE café</t>
        </is>
      </c>
      <c r="D54" s="60" t="inlineStr">
        <is>
          <t>12. ¿Cuál de las siguientes afirmaciones describe mejor lo que siente cuando visita este café y conoce su historia? (Conexión · Identidad/Pertenencia · Bienestar · Indiferencia · No conozco la historia [se deja vacío])</t>
        </is>
      </c>
      <c r="E54" s="60" t="inlineStr">
        <is>
          <t>binaria</t>
        </is>
      </c>
      <c r="F54" s="60" t="inlineStr">
        <is>
          <t>0 = Indiferencia · 1 = Conexión, Identidad/Pertenencia o Bienestar · vacío = no conoce la historia</t>
        </is>
      </c>
      <c r="G54" s="60" t="inlineStr">
        <is>
          <t>Sí</t>
        </is>
      </c>
      <c r="H54" s="60" t="inlineStr">
        <is>
          <t>Respuesta emocional frente a la historia del café; se tabula por café y se cruza con idx_story</t>
        </is>
      </c>
    </row>
    <row r="55" ht="29" customHeight="1" s="45">
      <c r="A55" s="44" t="inlineStr">
        <is>
          <t>recuerda_dato</t>
        </is>
      </c>
      <c r="B55" s="44" t="inlineStr">
        <is>
          <t>Encuestas</t>
        </is>
      </c>
      <c r="C55" s="44" t="inlineStr">
        <is>
          <t>B. Su percepción de ESTE café</t>
        </is>
      </c>
      <c r="D55" s="44" t="inlineStr">
        <is>
          <t>5. ¿Puede decir de dónde viene el café que toma o algún dato de la historia de este café? (1 = menciona espontáneamente al menos un dato concreto)</t>
        </is>
      </c>
      <c r="E55" s="44" t="inlineStr">
        <is>
          <t>binaria</t>
        </is>
      </c>
      <c r="F55" s="44" t="inlineStr">
        <is>
          <t>1 = sí · 0 = no</t>
        </is>
      </c>
      <c r="G55" s="44" t="inlineStr">
        <is>
          <t>Sí</t>
        </is>
      </c>
      <c r="H55" s="44" t="inlineStr">
        <is>
          <t>Recordación (resultado)</t>
        </is>
      </c>
    </row>
    <row r="56" ht="29" customHeight="1" s="45">
      <c r="A56" s="44" t="inlineStr">
        <is>
          <t>recuerda_dato_txt</t>
        </is>
      </c>
      <c r="B56" s="44" t="inlineStr">
        <is>
          <t>Encuestas</t>
        </is>
      </c>
      <c r="C56" s="44" t="inlineStr">
        <is>
          <t>B. Su percepción de ESTE café</t>
        </is>
      </c>
      <c r="D56" s="44" t="inlineStr">
        <is>
          <t>Lo que la persona dijo en la pregunta 5 (región, finca, productor o dato de la historia); solo si recuerda_dato = 1</t>
        </is>
      </c>
      <c r="E56" s="44" t="inlineStr">
        <is>
          <t>texto</t>
        </is>
      </c>
      <c r="F56" s="44" t="inlineStr">
        <is>
          <t>libre</t>
        </is>
      </c>
      <c r="G56" s="44" t="inlineStr">
        <is>
          <t>Condicional</t>
        </is>
      </c>
      <c r="H56" s="44" t="inlineStr">
        <is>
          <t>Verificación de recuerda_dato; insumo del informe de trabajo de campo</t>
        </is>
      </c>
    </row>
    <row r="57" ht="29" customHeight="1" s="45">
      <c r="A57" s="44" t="inlineStr">
        <is>
          <t>nps_recomienda</t>
        </is>
      </c>
      <c r="B57" s="44" t="inlineStr">
        <is>
          <t>Encuestas</t>
        </is>
      </c>
      <c r="C57" s="44" t="inlineStr">
        <is>
          <t>C. Preferencia</t>
        </is>
      </c>
      <c r="D57" s="44" t="inlineStr">
        <is>
          <t>13. Del 0 al 10, ¿qué tan probable es que recomiende este café a un amigo?</t>
        </is>
      </c>
      <c r="E57" s="44" t="inlineStr">
        <is>
          <t>escala 0–10</t>
        </is>
      </c>
      <c r="F57" s="44" t="inlineStr">
        <is>
          <t>0 a 10</t>
        </is>
      </c>
      <c r="G57" s="44" t="inlineStr">
        <is>
          <t>Sí</t>
        </is>
      </c>
      <c r="H57" s="44" t="inlineStr">
        <is>
          <t>Intención de recomendar (resultado declarado)</t>
        </is>
      </c>
    </row>
    <row r="58" ht="29" customHeight="1" s="45">
      <c r="A58" s="44" t="inlineStr">
        <is>
          <t>prob_volver</t>
        </is>
      </c>
      <c r="B58" s="44" t="inlineStr">
        <is>
          <t>Encuestas</t>
        </is>
      </c>
      <c r="C58" s="44" t="inlineStr">
        <is>
          <t>C. Preferencia</t>
        </is>
      </c>
      <c r="D58" s="44" t="inlineStr">
        <is>
          <t>14. ¿Qué tan probable es que vuelva en los próximos 30 días? (1 = nada probable … 5 = muy probable)</t>
        </is>
      </c>
      <c r="E58" s="44" t="inlineStr">
        <is>
          <t>escala 1–5</t>
        </is>
      </c>
      <c r="F58" s="44" t="inlineStr">
        <is>
          <t>1, 2, 3, 4, 5</t>
        </is>
      </c>
      <c r="G58" s="44" t="inlineStr">
        <is>
          <t>Sí</t>
        </is>
      </c>
      <c r="H58" s="44" t="inlineStr">
        <is>
          <t>Intención de volver (resultado declarado)</t>
        </is>
      </c>
    </row>
    <row r="59" ht="29" customHeight="1" s="45">
      <c r="A59" s="44" t="inlineStr">
        <is>
          <t>n_otros_cafes</t>
        </is>
      </c>
      <c r="B59" s="44" t="inlineStr">
        <is>
          <t>Encuestas</t>
        </is>
      </c>
      <c r="C59" s="44" t="inlineStr">
        <is>
          <t>C. Preferencia</t>
        </is>
      </c>
      <c r="D59" s="44" t="inlineStr">
        <is>
          <t>15. Además de este, ¿a cuántas otras cafeterías de especialidad fue el último mes?</t>
        </is>
      </c>
      <c r="E59" s="44" t="inlineStr">
        <is>
          <t>categórica</t>
        </is>
      </c>
      <c r="F59" s="44" t="inlineStr">
        <is>
          <t>Ninguno | 1 a 2 | 3 a 5 | 6 o más</t>
        </is>
      </c>
      <c r="G59" s="44" t="inlineStr">
        <is>
          <t>Sí</t>
        </is>
      </c>
      <c r="H59" s="44" t="inlineStr">
        <is>
          <t>Alternativas disponibles / intensidad de competencia</t>
        </is>
      </c>
    </row>
    <row r="60" ht="29" customHeight="1" s="45">
      <c r="A60" s="44" t="inlineStr">
        <is>
          <t>primera_opcion</t>
        </is>
      </c>
      <c r="B60" s="44" t="inlineStr">
        <is>
          <t>Encuestas</t>
        </is>
      </c>
      <c r="C60" s="44" t="inlineStr">
        <is>
          <t>C. Preferencia</t>
        </is>
      </c>
      <c r="D60" s="44" t="inlineStr">
        <is>
          <t>16. Frente a otras cafeterías de especialidad de la zona, este café es…</t>
        </is>
      </c>
      <c r="E60" s="44" t="inlineStr">
        <is>
          <t>categórica</t>
        </is>
      </c>
      <c r="F60" s="44" t="inlineStr">
        <is>
          <t>Es mi primera opción | Una de varias opciones | Vine por esta vez</t>
        </is>
      </c>
      <c r="G60" s="44" t="inlineStr">
        <is>
          <t>Sí</t>
        </is>
      </c>
      <c r="H60" s="44" t="inlineStr">
        <is>
          <t>Preferencia DECLARADA (no es elección observada)</t>
        </is>
      </c>
    </row>
    <row r="61" ht="29" customHeight="1" s="45">
      <c r="A61" s="44" t="inlineStr">
        <is>
          <t>obs_encuestador</t>
        </is>
      </c>
      <c r="B61" s="44" t="inlineStr">
        <is>
          <t>Encuestas</t>
        </is>
      </c>
      <c r="C61" s="44" t="inlineStr">
        <is>
          <t>Cierre</t>
        </is>
      </c>
      <c r="D61" s="44" t="inlineStr">
        <is>
          <t>Observaciones del encuestador (dudas, interrupciones, preguntas no respondidas)</t>
        </is>
      </c>
      <c r="E61" s="44" t="inlineStr">
        <is>
          <t>texto</t>
        </is>
      </c>
      <c r="F61" s="44" t="inlineStr">
        <is>
          <t>libre</t>
        </is>
      </c>
      <c r="G61" s="44" t="inlineStr">
        <is>
          <t>No</t>
        </is>
      </c>
      <c r="H61" s="44" t="inlineStr">
        <is>
          <t>Control de calidad / informe de campo</t>
        </is>
      </c>
    </row>
    <row r="62" ht="29" customHeight="1" s="45">
      <c r="A62" s="44" t="inlineStr">
        <is>
          <t>verificacion_especialidad</t>
        </is>
      </c>
      <c r="B62" s="44" t="inlineStr">
        <is>
          <t>Muestra_Cafes</t>
        </is>
      </c>
      <c r="C62" s="44" t="inlineStr">
        <is>
          <t>Muestra</t>
        </is>
      </c>
      <c r="D62" s="44" t="inlineStr">
        <is>
          <t>Resultado de aplicar el criterio de especialidad del Leeme a cada local</t>
        </is>
      </c>
      <c r="E62" s="44" t="inlineStr">
        <is>
          <t>categórica</t>
        </is>
      </c>
      <c r="F62" s="44" t="inlineStr">
        <is>
          <t>Cumple (a): fuente externa | Cumple (b): confirmar en visita | Verificar antes de salir</t>
        </is>
      </c>
      <c r="G62" s="44" t="inlineStr">
        <is>
          <t>Sí</t>
        </is>
      </c>
      <c r="H62" s="44" t="inlineStr">
        <is>
          <t>Control de la muestra: no entra al análisis; se resuelve antes de salir a campo</t>
        </is>
      </c>
    </row>
    <row r="63" ht="16" customHeight="1" s="45">
      <c r="A63" s="44" t="inlineStr">
        <is>
          <t>ab_id</t>
        </is>
      </c>
      <c r="B63" s="44" t="inlineStr">
        <is>
          <t>Abordajes</t>
        </is>
      </c>
      <c r="C63" s="44" t="inlineStr">
        <is>
          <t>Control del abordaje</t>
        </is>
      </c>
      <c r="D63" s="44" t="inlineStr">
        <is>
          <t>ID único del intento de abordaje (A-café-consecutivo, p. ej. A-C01-01)</t>
        </is>
      </c>
      <c r="E63" s="44" t="inlineStr">
        <is>
          <t>texto</t>
        </is>
      </c>
      <c r="F63" s="44" t="inlineStr">
        <is>
          <t>libre</t>
        </is>
      </c>
      <c r="G63" s="44" t="inlineStr">
        <is>
          <t>Sí</t>
        </is>
      </c>
      <c r="H63" s="44" t="inlineStr">
        <is>
          <t>Llave primaria</t>
        </is>
      </c>
    </row>
    <row r="64" ht="16" customHeight="1" s="45">
      <c r="A64" s="44" t="inlineStr">
        <is>
          <t>cafe_id</t>
        </is>
      </c>
      <c r="B64" s="44" t="inlineStr">
        <is>
          <t>Abordajes</t>
        </is>
      </c>
      <c r="C64" s="44" t="inlineStr">
        <is>
          <t>Control del abordaje</t>
        </is>
      </c>
      <c r="D64" s="44" t="inlineStr">
        <is>
          <t>Café donde se hizo el intento</t>
        </is>
      </c>
      <c r="E64" s="44" t="inlineStr">
        <is>
          <t>texto</t>
        </is>
      </c>
      <c r="F64" s="44" t="inlineStr">
        <is>
          <t>C01–C10, R1–R3</t>
        </is>
      </c>
      <c r="G64" s="44" t="inlineStr">
        <is>
          <t>Sí</t>
        </is>
      </c>
      <c r="H64" s="44" t="inlineStr">
        <is>
          <t>Unión con Muestra_Cafes y Avance</t>
        </is>
      </c>
    </row>
    <row r="65" ht="16" customHeight="1" s="45">
      <c r="A65" s="44" t="inlineStr">
        <is>
          <t>fecha</t>
        </is>
      </c>
      <c r="B65" s="44" t="inlineStr">
        <is>
          <t>Abordajes</t>
        </is>
      </c>
      <c r="C65" s="44" t="inlineStr">
        <is>
          <t>Control del abordaje</t>
        </is>
      </c>
      <c r="D65" s="44" t="inlineStr">
        <is>
          <t>Fecha del intento</t>
        </is>
      </c>
      <c r="E65" s="44" t="inlineStr">
        <is>
          <t>fecha</t>
        </is>
      </c>
      <c r="F65" s="44" t="inlineStr">
        <is>
          <t>libre</t>
        </is>
      </c>
      <c r="G65" s="44" t="inlineStr">
        <is>
          <t>Sí</t>
        </is>
      </c>
      <c r="H65" s="44" t="inlineStr">
        <is>
          <t>Control de campo</t>
        </is>
      </c>
    </row>
    <row r="66" ht="16" customHeight="1" s="45">
      <c r="A66" s="44" t="inlineStr">
        <is>
          <t>hora</t>
        </is>
      </c>
      <c r="B66" s="44" t="inlineStr">
        <is>
          <t>Abordajes</t>
        </is>
      </c>
      <c r="C66" s="44" t="inlineStr">
        <is>
          <t>Control del abordaje</t>
        </is>
      </c>
      <c r="D66" s="44" t="inlineStr">
        <is>
          <t>Hora del intento (HH:MM)</t>
        </is>
      </c>
      <c r="E66" s="44" t="inlineStr">
        <is>
          <t>texto</t>
        </is>
      </c>
      <c r="F66" s="44" t="inlineStr">
        <is>
          <t>HH:MM en 24 h</t>
        </is>
      </c>
      <c r="G66" s="44" t="inlineStr">
        <is>
          <t>Sí</t>
        </is>
      </c>
      <c r="H66" s="44" t="inlineStr">
        <is>
          <t>Control (hora del día)</t>
        </is>
      </c>
    </row>
    <row r="67" ht="16" customHeight="1" s="45">
      <c r="A67" s="44" t="inlineStr">
        <is>
          <t>encuestador</t>
        </is>
      </c>
      <c r="B67" s="44" t="inlineStr">
        <is>
          <t>Abordajes</t>
        </is>
      </c>
      <c r="C67" s="44" t="inlineStr">
        <is>
          <t>Control del abordaje</t>
        </is>
      </c>
      <c r="D67" s="44" t="inlineStr">
        <is>
          <t>Quién abordó (A, B o C)</t>
        </is>
      </c>
      <c r="E67" s="44" t="inlineStr">
        <is>
          <t>categórica</t>
        </is>
      </c>
      <c r="F67" s="44" t="inlineStr">
        <is>
          <t>A | B | C</t>
        </is>
      </c>
      <c r="G67" s="44" t="inlineStr">
        <is>
          <t>Sí</t>
        </is>
      </c>
      <c r="H67" s="44" t="inlineStr">
        <is>
          <t>Control de calidad</t>
        </is>
      </c>
    </row>
    <row r="68" ht="29" customHeight="1" s="45">
      <c r="A68" s="44" t="inlineStr">
        <is>
          <t>resultado</t>
        </is>
      </c>
      <c r="B68" s="44" t="inlineStr">
        <is>
          <t>Abordajes</t>
        </is>
      </c>
      <c r="C68" s="44" t="inlineStr">
        <is>
          <t>Control del abordaje</t>
        </is>
      </c>
      <c r="D68" s="44" t="inlineStr">
        <is>
          <t>Qué pasó con el intento</t>
        </is>
      </c>
      <c r="E68" s="44" t="inlineStr">
        <is>
          <t>categórica</t>
        </is>
      </c>
      <c r="F68" s="44" t="inlineStr">
        <is>
          <t>Completó la encuesta | Aceptó pero no terminó | Rechazó | No elegible (menor de edad)</t>
        </is>
      </c>
      <c r="G68" s="44" t="inlineStr">
        <is>
          <t>Sí</t>
        </is>
      </c>
      <c r="H68" s="44" t="inlineStr">
        <is>
          <t>Tasa de respuesta por café y total (sesgo de no respuesta)</t>
        </is>
      </c>
    </row>
    <row r="69" ht="29" customHeight="1" s="45">
      <c r="A69" s="44" t="inlineStr">
        <is>
          <t>motivo_rechazo</t>
        </is>
      </c>
      <c r="B69" s="44" t="inlineStr">
        <is>
          <t>Abordajes</t>
        </is>
      </c>
      <c r="C69" s="44" t="inlineStr">
        <is>
          <t>Control del abordaje</t>
        </is>
      </c>
      <c r="D69" s="44" t="inlineStr">
        <is>
          <t>Motivo que dio la persona (solo si rechazó o no terminó)</t>
        </is>
      </c>
      <c r="E69" s="44" t="inlineStr">
        <is>
          <t>categórica</t>
        </is>
      </c>
      <c r="F69" s="44" t="inlineStr">
        <is>
          <t>Sin tiempo | No le interesa | Está trabajando o estudiando | Otro | No lo dijo</t>
        </is>
      </c>
      <c r="G69" s="44" t="inlineStr">
        <is>
          <t>Condicional</t>
        </is>
      </c>
      <c r="H69" s="44" t="inlineStr">
        <is>
          <t>Descriptivo de la no respuesta</t>
        </is>
      </c>
    </row>
    <row r="70" ht="16" customHeight="1" s="45">
      <c r="A70" s="44" t="inlineStr">
        <is>
          <t>enc_id</t>
        </is>
      </c>
      <c r="B70" s="44" t="inlineStr">
        <is>
          <t>Abordajes</t>
        </is>
      </c>
      <c r="C70" s="44" t="inlineStr">
        <is>
          <t>Control del abordaje</t>
        </is>
      </c>
      <c r="D70" s="44" t="inlineStr">
        <is>
          <t>Si completó la encuesta, su enc_id en la hoja Encuestas</t>
        </is>
      </c>
      <c r="E70" s="44" t="inlineStr">
        <is>
          <t>texto</t>
        </is>
      </c>
      <c r="F70" s="44" t="inlineStr">
        <is>
          <t>libre</t>
        </is>
      </c>
      <c r="G70" s="44" t="inlineStr">
        <is>
          <t>Condicional</t>
        </is>
      </c>
      <c r="H70" s="44" t="inlineStr">
        <is>
          <t>Une el abordaje con la encuesta</t>
        </is>
      </c>
    </row>
    <row r="71" ht="16" customHeight="1" s="45">
      <c r="A71" s="44" t="inlineStr">
        <is>
          <t>obs_abordaje</t>
        </is>
      </c>
      <c r="B71" s="44" t="inlineStr">
        <is>
          <t>Abordajes</t>
        </is>
      </c>
      <c r="C71" s="44" t="inlineStr">
        <is>
          <t>Control del abordaje</t>
        </is>
      </c>
      <c r="D71" s="44" t="inlineStr">
        <is>
          <t>Notas del intento (sin rasgos que identifiquen a la persona)</t>
        </is>
      </c>
      <c r="E71" s="44" t="inlineStr">
        <is>
          <t>texto</t>
        </is>
      </c>
      <c r="F71" s="44" t="inlineStr">
        <is>
          <t>libre</t>
        </is>
      </c>
      <c r="G71" s="44" t="inlineStr">
        <is>
          <t>No</t>
        </is>
      </c>
      <c r="H71" s="44" t="inlineStr">
        <is>
          <t>Informe de trabajo de campo</t>
        </is>
      </c>
    </row>
    <row r="72" s="45"/>
    <row r="73"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sheetData>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ColWidth="14.43" defaultRowHeight="15" customHeight="1"/>
  <cols>
    <col width="30" customWidth="1" style="45" min="1" max="13"/>
    <col width="30" customWidth="1" style="45" min="10" max="10"/>
    <col width="28" customWidth="1" style="45" min="14" max="25"/>
    <col width="32" customWidth="1" style="45" min="15" max="15"/>
    <col width="32" customWidth="1" style="45" min="16" max="16"/>
  </cols>
  <sheetData>
    <row r="1">
      <c r="A1" s="35" t="inlineStr">
        <is>
          <t>localidad</t>
        </is>
      </c>
      <c r="B1" s="35" t="inlineStr">
        <is>
          <t>zona_muestreo</t>
        </is>
      </c>
      <c r="C1" s="35" t="inlineStr">
        <is>
          <t>tipo_negocio</t>
        </is>
      </c>
      <c r="D1" s="35" t="inlineStr">
        <is>
          <t>dia_tipo</t>
        </is>
      </c>
      <c r="E1" s="35" t="inlineStr">
        <is>
          <t>franja</t>
        </is>
      </c>
      <c r="F1" s="35" t="inlineStr">
        <is>
          <t>persona</t>
        </is>
      </c>
      <c r="G1" s="35" t="inlineStr">
        <is>
          <t>freq_visita</t>
        </is>
      </c>
      <c r="H1" s="35" t="inlineStr">
        <is>
          <t>motivo_visita</t>
        </is>
      </c>
      <c r="I1" s="35" t="inlineStr">
        <is>
          <t>como_conocio</t>
        </is>
      </c>
      <c r="J1" s="35" t="inlineStr">
        <is>
          <t>resultado_abordaje</t>
        </is>
      </c>
      <c r="K1" s="35" t="inlineStr">
        <is>
          <t>n_otros_cafes</t>
        </is>
      </c>
      <c r="L1" s="35" t="inlineStr">
        <is>
          <t>primera_opcion</t>
        </is>
      </c>
      <c r="M1" s="35" t="inlineStr">
        <is>
          <t>estado_muestra</t>
        </is>
      </c>
      <c r="N1" s="35" t="inlineStr">
        <is>
          <t>motivo_rechazo</t>
        </is>
      </c>
      <c r="O1" s="35" t="inlineStr">
        <is>
          <t>verificacion_especialidad</t>
        </is>
      </c>
      <c r="P1" s="35" t="inlineStr">
        <is>
          <t>minutos_permanencia</t>
        </is>
      </c>
    </row>
    <row r="2">
      <c r="A2" s="13" t="inlineStr">
        <is>
          <t>Chapinero</t>
        </is>
      </c>
      <c r="B2" s="13" t="inlineStr">
        <is>
          <t>Z1 Parkway–Teusaquillo</t>
        </is>
      </c>
      <c r="C2" s="13" t="inlineStr">
        <is>
          <t>Independiente (1 local)</t>
        </is>
      </c>
      <c r="D2" s="13" t="inlineStr">
        <is>
          <t>Entre semana</t>
        </is>
      </c>
      <c r="E2" s="13" t="inlineStr">
        <is>
          <t>Mañana (8–11)</t>
        </is>
      </c>
      <c r="F2" s="13" t="inlineStr">
        <is>
          <t>A</t>
        </is>
      </c>
      <c r="G2" s="13" t="inlineStr">
        <is>
          <t>Primera vez</t>
        </is>
      </c>
      <c r="H2" s="13" t="inlineStr">
        <is>
          <t>Trabajo o estudio</t>
        </is>
      </c>
      <c r="I2" s="13" t="inlineStr">
        <is>
          <t>Redes sociales</t>
        </is>
      </c>
      <c r="J2" s="13" t="inlineStr">
        <is>
          <t>Completó la encuesta</t>
        </is>
      </c>
      <c r="K2" s="13" t="inlineStr">
        <is>
          <t>Ninguno</t>
        </is>
      </c>
      <c r="L2" s="13" t="inlineStr">
        <is>
          <t>Es mi primera opción</t>
        </is>
      </c>
      <c r="M2" s="13" t="inlineStr">
        <is>
          <t>Pendiente</t>
        </is>
      </c>
      <c r="N2" s="13" t="inlineStr">
        <is>
          <t>Sin tiempo</t>
        </is>
      </c>
      <c r="O2" s="13" t="inlineStr">
        <is>
          <t>Cumple (a): fuente externa</t>
        </is>
      </c>
      <c r="P2" s="13" t="inlineStr">
        <is>
          <t>Menos de 15 minutos</t>
        </is>
      </c>
    </row>
    <row r="3">
      <c r="A3" s="13" t="inlineStr">
        <is>
          <t>Usaquén</t>
        </is>
      </c>
      <c r="B3" s="13" t="inlineStr">
        <is>
          <t>Z2 La Macarena</t>
        </is>
      </c>
      <c r="C3" s="13" t="inlineStr">
        <is>
          <t>Pequeña cadena (2–5 locales)</t>
        </is>
      </c>
      <c r="D3" s="13" t="inlineStr">
        <is>
          <t>Fin de semana</t>
        </is>
      </c>
      <c r="E3" s="13" t="inlineStr">
        <is>
          <t>Tarde (14–17)</t>
        </is>
      </c>
      <c r="F3" s="13" t="inlineStr">
        <is>
          <t>B</t>
        </is>
      </c>
      <c r="G3" s="13" t="inlineStr">
        <is>
          <t>Menos de 1 vez al mes</t>
        </is>
      </c>
      <c r="H3" s="13" t="inlineStr">
        <is>
          <t>Reunión social</t>
        </is>
      </c>
      <c r="I3" s="13" t="inlineStr">
        <is>
          <t>Recomendación</t>
        </is>
      </c>
      <c r="J3" s="13" t="inlineStr">
        <is>
          <t>Aceptó pero no terminó</t>
        </is>
      </c>
      <c r="K3" s="13" t="inlineStr">
        <is>
          <t>1 a 2</t>
        </is>
      </c>
      <c r="L3" s="13" t="inlineStr">
        <is>
          <t>Una de varias opciones</t>
        </is>
      </c>
      <c r="M3" s="13" t="inlineStr">
        <is>
          <t>Visitado</t>
        </is>
      </c>
      <c r="N3" s="13" t="inlineStr">
        <is>
          <t>No le interesa</t>
        </is>
      </c>
      <c r="O3" s="13" t="inlineStr">
        <is>
          <t>Cumple (b): confirmar en visita</t>
        </is>
      </c>
      <c r="P3" s="13" t="inlineStr">
        <is>
          <t>15-30 minutos</t>
        </is>
      </c>
    </row>
    <row r="4">
      <c r="A4" s="13" t="inlineStr">
        <is>
          <t>Teusaquillo</t>
        </is>
      </c>
      <c r="B4" s="13" t="inlineStr">
        <is>
          <t>Z3 Centro</t>
        </is>
      </c>
      <c r="C4" s="13" t="inlineStr">
        <is>
          <t>Cadena grande (6+ locales)</t>
        </is>
      </c>
      <c r="F4" s="13" t="inlineStr">
        <is>
          <t>C</t>
        </is>
      </c>
      <c r="G4" s="13" t="inlineStr">
        <is>
          <t>1–3 veces al mes</t>
        </is>
      </c>
      <c r="H4" s="13" t="inlineStr">
        <is>
          <t>Probar café de especialidad</t>
        </is>
      </c>
      <c r="I4" s="13" t="inlineStr">
        <is>
          <t>Pasó por el lugar</t>
        </is>
      </c>
      <c r="J4" s="13" t="inlineStr">
        <is>
          <t>Rechazó</t>
        </is>
      </c>
      <c r="K4" s="13" t="inlineStr">
        <is>
          <t>3 a 5</t>
        </is>
      </c>
      <c r="L4" s="13" t="inlineStr">
        <is>
          <t>Vine por esta vez</t>
        </is>
      </c>
      <c r="M4" s="13" t="inlineStr">
        <is>
          <t>Reemplazado</t>
        </is>
      </c>
      <c r="N4" s="13" t="inlineStr">
        <is>
          <t>Está trabajando o estudiando</t>
        </is>
      </c>
      <c r="O4" s="13" t="inlineStr">
        <is>
          <t>Verificar antes de salir</t>
        </is>
      </c>
      <c r="P4" s="13" t="inlineStr">
        <is>
          <t>30-60 minutos</t>
        </is>
      </c>
    </row>
    <row r="5">
      <c r="A5" s="13" t="inlineStr">
        <is>
          <t>Barrios Unidos</t>
        </is>
      </c>
      <c r="C5" s="13" t="inlineStr">
        <is>
          <t>Tostadora con cafetería</t>
        </is>
      </c>
      <c r="G5" s="13" t="inlineStr">
        <is>
          <t>Semanal</t>
        </is>
      </c>
      <c r="H5" s="13" t="inlineStr">
        <is>
          <t>Salir de la rutina</t>
        </is>
      </c>
      <c r="I5" s="13" t="inlineStr">
        <is>
          <t>Google Maps u otra app</t>
        </is>
      </c>
      <c r="J5" s="13" t="inlineStr">
        <is>
          <t>No elegible (menor de edad)</t>
        </is>
      </c>
      <c r="K5" s="13" t="inlineStr">
        <is>
          <t>6 o más</t>
        </is>
      </c>
      <c r="M5" s="13" t="inlineStr">
        <is>
          <t>Piloto</t>
        </is>
      </c>
      <c r="N5" s="13" t="inlineStr">
        <is>
          <t>Otro</t>
        </is>
      </c>
      <c r="O5" s="13" t="n"/>
      <c r="P5" s="13" t="inlineStr">
        <is>
          <t>Más de 1 hora</t>
        </is>
      </c>
    </row>
    <row r="6">
      <c r="A6" s="13" t="inlineStr">
        <is>
          <t>Santa Fe</t>
        </is>
      </c>
      <c r="H6" s="13" t="inlineStr">
        <is>
          <t>Otro</t>
        </is>
      </c>
      <c r="I6" s="13" t="inlineStr">
        <is>
          <t>Otro</t>
        </is>
      </c>
      <c r="J6" s="13" t="n"/>
      <c r="M6" s="13" t="inlineStr">
        <is>
          <t>Reserva</t>
        </is>
      </c>
      <c r="N6" s="13" t="inlineStr">
        <is>
          <t>No lo dijo</t>
        </is>
      </c>
      <c r="O6" s="13" t="n"/>
    </row>
    <row r="7">
      <c r="A7" s="13" t="inlineStr">
        <is>
          <t>La Candelaria</t>
        </is>
      </c>
      <c r="J7" s="13" t="n"/>
    </row>
    <row r="8">
      <c r="A8" s="13" t="inlineStr">
        <is>
          <t>Suba</t>
        </is>
      </c>
      <c r="J8" s="13" t="n"/>
    </row>
    <row r="9">
      <c r="A9" s="13" t="inlineStr">
        <is>
          <t>Otra</t>
        </is>
      </c>
    </row>
    <row r="21" ht="15.75" customHeight="1" s="45"/>
    <row r="22" ht="15.75" customHeight="1" s="45"/>
    <row r="23" ht="15.75" customHeight="1" s="45"/>
    <row r="24" ht="15.75" customHeight="1" s="45"/>
    <row r="25" ht="15.75" customHeight="1" s="45"/>
    <row r="26" ht="15.75" customHeight="1" s="45"/>
    <row r="27" ht="15.75" customHeight="1" s="45"/>
    <row r="28" ht="15.75" customHeight="1" s="45"/>
    <row r="29" ht="15.75" customHeight="1" s="45"/>
    <row r="30" ht="15.75" customHeight="1" s="45"/>
    <row r="31" ht="15.75" customHeight="1" s="45"/>
    <row r="32" ht="15.75" customHeight="1" s="45"/>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2026-10-28T13:04:31Z</dcterms:created>
  <dcterms:modified xmlns:dcterms="http://purl.org/dc/terms/" xmlns:xsi="http://www.w3.org/2001/XMLSchema-instance" xsi:type="dcterms:W3CDTF">2026-10-29T03:09:33Z</dcterms:modified>
</cp:coreProperties>
</file>