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Protocolo_Trabajo_de_Campo\Protocolo_Trabajo_de_Campo\"/>
    </mc:Choice>
  </mc:AlternateContent>
  <xr:revisionPtr revIDLastSave="0" documentId="13_ncr:1_{7027AA63-70A8-489C-A606-531571A7A51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Leeme" sheetId="1" r:id="rId1"/>
    <sheet name="Muestra_Cafes" sheetId="2" r:id="rId2"/>
    <sheet name="Ficha_Cafe" sheetId="3" r:id="rId3"/>
    <sheet name="Encuestas" sheetId="4" r:id="rId4"/>
    <sheet name="Abordajes" sheetId="5" r:id="rId5"/>
    <sheet name="Avance" sheetId="6" r:id="rId6"/>
    <sheet name="Piloto" sheetId="7" r:id="rId7"/>
    <sheet name="Diccionario" sheetId="8" r:id="rId8"/>
    <sheet name="Listas" sheetId="9" r:id="rId9"/>
  </sheets>
  <definedNames>
    <definedName name="_xlnm._FilterDatabase" localSheetId="7" hidden="1">Diccionario!$A$1:$H$85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7" l="1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34" i="7" s="1"/>
  <c r="C13" i="6"/>
  <c r="A13" i="6"/>
  <c r="F13" i="6" s="1"/>
  <c r="C12" i="6"/>
  <c r="D12" i="6" s="1"/>
  <c r="A12" i="6"/>
  <c r="G12" i="6" s="1"/>
  <c r="C11" i="6"/>
  <c r="D11" i="6" s="1"/>
  <c r="A11" i="6"/>
  <c r="E11" i="6" s="1"/>
  <c r="C10" i="6"/>
  <c r="A10" i="6"/>
  <c r="F10" i="6" s="1"/>
  <c r="C9" i="6"/>
  <c r="A9" i="6"/>
  <c r="F9" i="6" s="1"/>
  <c r="C8" i="6"/>
  <c r="A8" i="6"/>
  <c r="F8" i="6" s="1"/>
  <c r="C7" i="6"/>
  <c r="A7" i="6"/>
  <c r="F7" i="6" s="1"/>
  <c r="C6" i="6"/>
  <c r="A6" i="6"/>
  <c r="G6" i="6" s="1"/>
  <c r="C5" i="6"/>
  <c r="A5" i="6"/>
  <c r="B5" i="6" s="1"/>
  <c r="C4" i="6"/>
  <c r="A4" i="6"/>
  <c r="G4" i="6" s="1"/>
  <c r="C3" i="6"/>
  <c r="A3" i="6"/>
  <c r="B3" i="6" s="1"/>
  <c r="C2" i="6"/>
  <c r="A2" i="6"/>
  <c r="G2" i="6" s="1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J2" i="5"/>
  <c r="H2" i="5"/>
  <c r="AE30" i="3"/>
  <c r="AD30" i="3"/>
  <c r="AC30" i="3"/>
  <c r="AB30" i="3"/>
  <c r="AD29" i="3"/>
  <c r="AC29" i="3"/>
  <c r="AE29" i="3" s="1"/>
  <c r="AB29" i="3"/>
  <c r="AE28" i="3"/>
  <c r="AD28" i="3"/>
  <c r="AC28" i="3"/>
  <c r="AB28" i="3"/>
  <c r="AE27" i="3"/>
  <c r="AD27" i="3"/>
  <c r="AC27" i="3"/>
  <c r="AB27" i="3"/>
  <c r="AE26" i="3"/>
  <c r="AD26" i="3"/>
  <c r="AC26" i="3"/>
  <c r="AB26" i="3"/>
  <c r="AD25" i="3"/>
  <c r="AC25" i="3"/>
  <c r="AE25" i="3" s="1"/>
  <c r="AB25" i="3"/>
  <c r="AE24" i="3"/>
  <c r="AD24" i="3"/>
  <c r="AC24" i="3"/>
  <c r="AB24" i="3"/>
  <c r="AE23" i="3"/>
  <c r="AD23" i="3"/>
  <c r="AC23" i="3"/>
  <c r="AB23" i="3"/>
  <c r="AE22" i="3"/>
  <c r="AD22" i="3"/>
  <c r="AC22" i="3"/>
  <c r="AB22" i="3"/>
  <c r="AD21" i="3"/>
  <c r="AC21" i="3"/>
  <c r="AE21" i="3" s="1"/>
  <c r="AB21" i="3"/>
  <c r="AE20" i="3"/>
  <c r="AD20" i="3"/>
  <c r="AC20" i="3"/>
  <c r="AB20" i="3"/>
  <c r="AE19" i="3"/>
  <c r="AD19" i="3"/>
  <c r="AC19" i="3"/>
  <c r="AB19" i="3"/>
  <c r="AE18" i="3"/>
  <c r="AD18" i="3"/>
  <c r="AC18" i="3"/>
  <c r="AB18" i="3"/>
  <c r="AD17" i="3"/>
  <c r="AC17" i="3"/>
  <c r="AE17" i="3" s="1"/>
  <c r="AB17" i="3"/>
  <c r="AE16" i="3"/>
  <c r="AD16" i="3"/>
  <c r="AC16" i="3"/>
  <c r="AB16" i="3"/>
  <c r="AE15" i="3"/>
  <c r="AD15" i="3"/>
  <c r="AC15" i="3"/>
  <c r="AB15" i="3"/>
  <c r="AE14" i="3"/>
  <c r="AD14" i="3"/>
  <c r="AC14" i="3"/>
  <c r="AB14" i="3"/>
  <c r="AD13" i="3"/>
  <c r="AC13" i="3"/>
  <c r="AE13" i="3" s="1"/>
  <c r="AB13" i="3"/>
  <c r="AE12" i="3"/>
  <c r="AD12" i="3"/>
  <c r="AC12" i="3"/>
  <c r="AB12" i="3"/>
  <c r="AE11" i="3"/>
  <c r="AD11" i="3"/>
  <c r="AC11" i="3"/>
  <c r="AB11" i="3"/>
  <c r="AE10" i="3"/>
  <c r="AD10" i="3"/>
  <c r="AC10" i="3"/>
  <c r="AB10" i="3"/>
  <c r="AD9" i="3"/>
  <c r="AC9" i="3"/>
  <c r="AE9" i="3" s="1"/>
  <c r="AB9" i="3"/>
  <c r="AE8" i="3"/>
  <c r="AD8" i="3"/>
  <c r="AC8" i="3"/>
  <c r="AB8" i="3"/>
  <c r="AE7" i="3"/>
  <c r="AD7" i="3"/>
  <c r="AC7" i="3"/>
  <c r="AB7" i="3"/>
  <c r="AE6" i="3"/>
  <c r="AD6" i="3"/>
  <c r="AC6" i="3"/>
  <c r="AB6" i="3"/>
  <c r="AD5" i="3"/>
  <c r="AC5" i="3"/>
  <c r="AE5" i="3" s="1"/>
  <c r="AB5" i="3"/>
  <c r="AE4" i="3"/>
  <c r="AD4" i="3"/>
  <c r="AC4" i="3"/>
  <c r="AB4" i="3"/>
  <c r="AE3" i="3"/>
  <c r="AD3" i="3"/>
  <c r="AC3" i="3"/>
  <c r="AB3" i="3"/>
  <c r="AE2" i="3"/>
  <c r="AD2" i="3"/>
  <c r="AC2" i="3"/>
  <c r="AB2" i="3"/>
  <c r="B13" i="6" l="1"/>
  <c r="D13" i="6" s="1"/>
  <c r="G13" i="6"/>
  <c r="G8" i="6"/>
  <c r="F11" i="6"/>
  <c r="E7" i="6"/>
  <c r="G9" i="6"/>
  <c r="E5" i="6"/>
  <c r="G5" i="6"/>
  <c r="G11" i="6"/>
  <c r="E13" i="6"/>
  <c r="E6" i="6"/>
  <c r="B11" i="6"/>
  <c r="F6" i="6"/>
  <c r="B8" i="6"/>
  <c r="D8" i="6" s="1"/>
  <c r="B12" i="6"/>
  <c r="C14" i="6"/>
  <c r="E8" i="6"/>
  <c r="G10" i="6"/>
  <c r="D3" i="6"/>
  <c r="D5" i="6"/>
  <c r="G7" i="6"/>
  <c r="B10" i="6"/>
  <c r="D10" i="6" s="1"/>
  <c r="F5" i="6"/>
  <c r="E12" i="6"/>
  <c r="F12" i="6"/>
  <c r="F3" i="6"/>
  <c r="E10" i="6"/>
  <c r="E3" i="6"/>
  <c r="G3" i="6"/>
  <c r="B6" i="6"/>
  <c r="D6" i="6" s="1"/>
  <c r="B4" i="6"/>
  <c r="D4" i="6" s="1"/>
  <c r="B2" i="6"/>
  <c r="E4" i="6"/>
  <c r="B9" i="6"/>
  <c r="D9" i="6" s="1"/>
  <c r="F4" i="6"/>
  <c r="E2" i="6"/>
  <c r="F2" i="6"/>
  <c r="E9" i="6"/>
  <c r="B7" i="6"/>
  <c r="D7" i="6" s="1"/>
  <c r="E14" i="6" l="1"/>
  <c r="B14" i="6"/>
  <c r="D14" i="6" s="1"/>
  <c r="D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200-000001000000}">
      <text>
        <r>
          <rPr>
            <sz val="10"/>
            <rFont val="Arial"/>
            <family val="2"/>
          </rPr>
          <t>ID único del café (C01–C12; P1–P2 piloto; R1–R4 reemplazos)</t>
        </r>
      </text>
    </comment>
    <comment ref="B1" authorId="0" shapeId="0" xr:uid="{00000000-0006-0000-0200-000002000000}">
      <text>
        <r>
          <rPr>
            <sz val="10"/>
            <rFont val="Arial"/>
            <family val="2"/>
          </rPr>
          <t>ID del café en el shapefile de la Entrega 3a</t>
        </r>
      </text>
    </comment>
    <comment ref="C1" authorId="0" shapeId="0" xr:uid="{00000000-0006-0000-0200-000003000000}">
      <text>
        <r>
          <rPr>
            <sz val="10"/>
            <rFont val="Arial"/>
            <family val="2"/>
          </rPr>
          <t>Nombre del negocio</t>
        </r>
      </text>
    </comment>
    <comment ref="D1" authorId="0" shapeId="0" xr:uid="{00000000-0006-0000-0200-000004000000}">
      <text>
        <r>
          <rPr>
            <sz val="10"/>
            <rFont val="Arial"/>
            <family val="2"/>
          </rPr>
          <t>Localidad donde está el café
Valores: Chapinero | Usaquén | Teusaquillo | Barrios Unidos | Santa Fe | La Candelaria | Suba | Otra</t>
        </r>
      </text>
    </comment>
    <comment ref="E1" authorId="0" shapeId="0" xr:uid="{00000000-0006-0000-0200-000005000000}">
      <text>
        <r>
          <rPr>
            <sz val="10"/>
            <rFont val="Arial"/>
            <family val="2"/>
          </rPr>
          <t>Estrato geográfico del muestreo
Valores: Z1 Chapinero | Z2 Usaquén | Z3 Teusaquillo–Barrios Unidos | Z4 Centro</t>
        </r>
      </text>
    </comment>
    <comment ref="F1" authorId="0" shapeId="0" xr:uid="{00000000-0006-0000-0200-000006000000}">
      <text>
        <r>
          <rPr>
            <sz val="10"/>
            <rFont val="Arial"/>
            <family val="2"/>
          </rPr>
          <t>Tipo de negocio
Valores: Independiente (1 local) | Pequeña cadena (2–5 locales) | Cadena grande (6+ locales) | Tostadora con cafetería</t>
        </r>
      </text>
    </comment>
    <comment ref="G1" authorId="0" shapeId="0" xr:uid="{00000000-0006-0000-0200-000007000000}">
      <text>
        <r>
          <rPr>
            <sz val="10"/>
            <rFont val="Arial"/>
            <family val="2"/>
          </rPr>
          <t>Fecha de la visita</t>
        </r>
      </text>
    </comment>
    <comment ref="H1" authorId="0" shapeId="0" xr:uid="{00000000-0006-0000-0200-000008000000}">
      <text>
        <r>
          <rPr>
            <sz val="10"/>
            <rFont val="Arial"/>
            <family val="2"/>
          </rPr>
          <t>Tipo de día
Valores: Entre semana | Fin de semana</t>
        </r>
      </text>
    </comment>
    <comment ref="I1" authorId="0" shapeId="0" xr:uid="{00000000-0006-0000-0200-000009000000}">
      <text>
        <r>
          <rPr>
            <sz val="10"/>
            <rFont val="Arial"/>
            <family val="2"/>
          </rPr>
          <t>Franja horaria de la visita
Valores: Mañana (8–11) | Tarde (14–17)</t>
        </r>
      </text>
    </comment>
    <comment ref="J1" authorId="0" shapeId="0" xr:uid="{00000000-0006-0000-0200-00000A000000}">
      <text>
        <r>
          <rPr>
            <sz val="10"/>
            <rFont val="Arial"/>
            <family val="2"/>
          </rPr>
          <t>Quién llenó la ficha (A, B o C)
Valores: A | B | C</t>
        </r>
      </text>
    </comment>
    <comment ref="K1" authorId="0" shapeId="0" xr:uid="{00000000-0006-0000-0200-00000B000000}">
      <text>
        <r>
          <rPr>
            <sz val="10"/>
            <rFont val="Arial"/>
            <family val="2"/>
          </rPr>
          <t>El administrador autorizó la visita y las fotos del espacio (1 = sí)</t>
        </r>
      </text>
    </comment>
    <comment ref="L1" authorId="0" shapeId="0" xr:uid="{00000000-0006-0000-0200-00000C000000}">
      <text>
        <r>
          <rPr>
            <sz val="10"/>
            <rFont val="Arial"/>
            <family val="2"/>
          </rPr>
          <t>La carta o menú menciona el origen del café (región, finca o productor)</t>
        </r>
      </text>
    </comment>
    <comment ref="M1" authorId="0" shapeId="0" xr:uid="{00000000-0006-0000-0200-00000D000000}">
      <text>
        <r>
          <rPr>
            <sz val="10"/>
            <rFont val="Arial"/>
            <family val="2"/>
          </rPr>
          <t>Hay explicación visible del proceso o método (carteles, pizarra, barra)</t>
        </r>
      </text>
    </comment>
    <comment ref="N1" authorId="0" shapeId="0" xr:uid="{00000000-0006-0000-0200-00000E000000}">
      <text>
        <r>
          <rPr>
            <sz val="10"/>
            <rFont val="Arial"/>
            <family val="2"/>
          </rPr>
          <t>La historia o filosofía del negocio es visible en el local (muro, carta, QR)</t>
        </r>
      </text>
    </comment>
    <comment ref="O1" authorId="0" shapeId="0" xr:uid="{00000000-0006-0000-0200-00000F000000}">
      <text>
        <r>
          <rPr>
            <sz val="10"/>
            <rFont val="Arial"/>
            <family val="2"/>
          </rPr>
          <t>Al preguntar «¿de dónde es este café?», el personal responde con un dato específico (región, finca o productor)</t>
        </r>
      </text>
    </comment>
    <comment ref="P1" authorId="0" shapeId="0" xr:uid="{00000000-0006-0000-0200-000010000000}">
      <text>
        <r>
          <rPr>
            <sz val="10"/>
            <rFont val="Arial"/>
            <family val="2"/>
          </rPr>
          <t>Ofrece catas, talleres, recorridos o experiencias guiadas (anunciadas o disponibles)</t>
        </r>
      </text>
    </comment>
    <comment ref="Q1" authorId="0" shapeId="0" xr:uid="{00000000-0006-0000-0200-000011000000}">
      <text>
        <r>
          <rPr>
            <sz val="10"/>
            <rFont val="Arial"/>
            <family val="2"/>
          </rPr>
          <t>Vende café en grano o empaque con información de origen y tostión</t>
        </r>
      </text>
    </comment>
    <comment ref="R1" authorId="0" shapeId="0" xr:uid="{00000000-0006-0000-0200-000012000000}">
      <text>
        <r>
          <rPr>
            <sz val="10"/>
            <rFont val="Arial"/>
            <family val="2"/>
          </rPr>
          <t>En Instagram o web, al menos 2 de las últimas 12 publicaciones tratan de origen, productores o proceso</t>
        </r>
      </text>
    </comment>
    <comment ref="S1" authorId="0" shapeId="0" xr:uid="{00000000-0006-0000-0200-000013000000}">
      <text>
        <r>
          <rPr>
            <sz val="10"/>
            <rFont val="Arial"/>
            <family val="2"/>
          </rPr>
          <t>Comunica su relación con productores o prácticas de sostenibilidad (comercio directo, trazabilidad)</t>
        </r>
      </text>
    </comment>
    <comment ref="T1" authorId="0" shapeId="0" xr:uid="{00000000-0006-0000-0200-000014000000}">
      <text>
        <r>
          <rPr>
            <sz val="10"/>
            <rFont val="Arial"/>
            <family val="2"/>
          </rPr>
          <t>Identidad visual coherente (diseño, colores, logo, mobiliario)</t>
        </r>
      </text>
    </comment>
    <comment ref="U1" authorId="0" shapeId="0" xr:uid="{00000000-0006-0000-0200-000015000000}">
      <text>
        <r>
          <rPr>
            <sz val="10"/>
            <rFont val="Arial"/>
            <family val="2"/>
          </rPr>
          <t>Iluminación agradable (natural o cálida)</t>
        </r>
      </text>
    </comment>
    <comment ref="V1" authorId="0" shapeId="0" xr:uid="{00000000-0006-0000-0200-000016000000}">
      <text>
        <r>
          <rPr>
            <sz val="10"/>
            <rFont val="Arial"/>
            <family val="2"/>
          </rPr>
          <t>Música ambiente presente y a un volumen que permite conversar</t>
        </r>
      </text>
    </comment>
    <comment ref="W1" authorId="0" shapeId="0" xr:uid="{00000000-0006-0000-0200-000017000000}">
      <text>
        <r>
          <rPr>
            <sz val="10"/>
            <rFont val="Arial"/>
            <family val="2"/>
          </rPr>
          <t>Aroma a café perceptible al entrar</t>
        </r>
      </text>
    </comment>
    <comment ref="X1" authorId="0" shapeId="0" xr:uid="{00000000-0006-0000-0200-000018000000}">
      <text>
        <r>
          <rPr>
            <sz val="10"/>
            <rFont val="Arial"/>
            <family val="2"/>
          </rPr>
          <t>Zonas diferenciadas (barra, mesas, zona de trabajo, exterior)</t>
        </r>
      </text>
    </comment>
    <comment ref="Y1" authorId="0" shapeId="0" xr:uid="{00000000-0006-0000-0200-000019000000}">
      <text>
        <r>
          <rPr>
            <sz val="10"/>
            <rFont val="Arial"/>
            <family val="2"/>
          </rPr>
          <t>Mobiliario cómodo (sillas con espaldar, sofás, mesas suficientes)</t>
        </r>
      </text>
    </comment>
    <comment ref="Z1" authorId="0" shapeId="0" xr:uid="{00000000-0006-0000-0200-00001A000000}">
      <text>
        <r>
          <rPr>
            <sz val="10"/>
            <rFont val="Arial"/>
            <family val="2"/>
          </rPr>
          <t>Barra de preparación a la vista del cliente</t>
        </r>
      </text>
    </comment>
    <comment ref="AA1" authorId="0" shapeId="0" xr:uid="{00000000-0006-0000-0200-00001B000000}">
      <text>
        <r>
          <rPr>
            <sz val="10"/>
            <rFont val="Arial"/>
            <family val="2"/>
          </rPr>
          <t>Elementos decorativos alusivos al café (origen, utensilios, plantas, arte)</t>
        </r>
      </text>
    </comment>
    <comment ref="AB1" authorId="0" shapeId="0" xr:uid="{00000000-0006-0000-0200-00001C000000}">
      <text>
        <r>
          <rPr>
            <sz val="10"/>
            <rFont val="Arial"/>
            <family val="2"/>
          </rPr>
          <t>Índice de storytelling (suma st1–st8, rango 0–8)</t>
        </r>
      </text>
    </comment>
    <comment ref="AC1" authorId="0" shapeId="0" xr:uid="{00000000-0006-0000-0200-00001D000000}">
      <text>
        <r>
          <rPr>
            <sz val="10"/>
            <rFont val="Arial"/>
            <family val="2"/>
          </rPr>
          <t>Índice de ambientación (suma am1–am8, rango 0–8)</t>
        </r>
      </text>
    </comment>
    <comment ref="AD1" authorId="0" shapeId="0" xr:uid="{00000000-0006-0000-0200-00001E000000}">
      <text>
        <r>
          <rPr>
            <sz val="10"/>
            <rFont val="Arial"/>
            <family val="2"/>
          </rPr>
          <t>Índice de storytelling reescalado 0–10</t>
        </r>
      </text>
    </comment>
    <comment ref="AE1" authorId="0" shapeId="0" xr:uid="{00000000-0006-0000-0200-00001F000000}">
      <text>
        <r>
          <rPr>
            <sz val="10"/>
            <rFont val="Arial"/>
            <family val="2"/>
          </rPr>
          <t>Índice de ambientación reescalado 0–10</t>
        </r>
      </text>
    </comment>
    <comment ref="AF1" authorId="0" shapeId="0" xr:uid="{00000000-0006-0000-0200-000020000000}">
      <text>
        <r>
          <rPr>
            <sz val="10"/>
            <rFont val="Arial"/>
            <family val="2"/>
          </rPr>
          <t>Nivel de ruido percibido (1 = muy silencioso … 5 = muy ruidoso)</t>
        </r>
      </text>
    </comment>
    <comment ref="AG1" authorId="0" shapeId="0" xr:uid="{00000000-0006-0000-0200-000021000000}">
      <text>
        <r>
          <rPr>
            <sz val="10"/>
            <rFont val="Arial"/>
            <family val="2"/>
          </rPr>
          <t>Mesas ocupadas / mesas totales al llegar (%)
Valores: 0–100</t>
        </r>
      </text>
    </comment>
    <comment ref="AH1" authorId="0" shapeId="0" xr:uid="{00000000-0006-0000-0200-000022000000}">
      <text>
        <r>
          <rPr>
            <sz val="10"/>
            <rFont val="Arial"/>
            <family val="2"/>
          </rPr>
          <t>Minutos entre pedir y recibir una bebida
Valores: ≥ 0</t>
        </r>
      </text>
    </comment>
    <comment ref="AI1" authorId="0" shapeId="0" xr:uid="{00000000-0006-0000-0200-000023000000}">
      <text>
        <r>
          <rPr>
            <sz val="10"/>
            <rFont val="Arial"/>
            <family val="2"/>
          </rPr>
          <t>Presentación de la bebida pedida (1 = muy básica … 5 = muy cuidada)</t>
        </r>
      </text>
    </comment>
    <comment ref="AJ1" authorId="0" shapeId="0" xr:uid="{00000000-0006-0000-0200-000024000000}">
      <text>
        <r>
          <rPr>
            <sz val="10"/>
            <rFont val="Arial"/>
            <family val="2"/>
          </rPr>
          <t>Precio del capuchino o latte (12 oz o el más parecido), en COP
Valores: ≥ 0</t>
        </r>
      </text>
    </comment>
    <comment ref="AK1" authorId="0" shapeId="0" xr:uid="{00000000-0006-0000-0200-000025000000}">
      <text>
        <r>
          <rPr>
            <sz val="10"/>
            <rFont val="Arial"/>
            <family val="2"/>
          </rPr>
          <t>Ofrece métodos de filtrado (V60, Chemex, etc.) (1 = sí)</t>
        </r>
      </text>
    </comment>
    <comment ref="AL1" authorId="0" shapeId="0" xr:uid="{00000000-0006-0000-0200-000026000000}">
      <text>
        <r>
          <rPr>
            <sz val="10"/>
            <rFont val="Arial"/>
            <family val="2"/>
          </rPr>
          <t>Precio del café filtrado más barato, en COP (vacío si no ofrece)
Valores: ≥ 0</t>
        </r>
      </text>
    </comment>
    <comment ref="AM1" authorId="0" shapeId="0" xr:uid="{00000000-0006-0000-0200-000027000000}">
      <text>
        <r>
          <rPr>
            <sz val="10"/>
            <rFont val="Arial"/>
            <family val="2"/>
          </rPr>
          <t>Tiene cuenta de Instagram activa (1 = sí)</t>
        </r>
      </text>
    </comment>
    <comment ref="AN1" authorId="0" shapeId="0" xr:uid="{00000000-0006-0000-0200-000028000000}">
      <text>
        <r>
          <rPr>
            <sz val="10"/>
            <rFont val="Arial"/>
            <family val="2"/>
          </rPr>
          <t>Número de seguidores en Instagram
Valores: ≥ 0</t>
        </r>
      </text>
    </comment>
    <comment ref="AO1" authorId="0" shapeId="0" xr:uid="{00000000-0006-0000-0200-000029000000}">
      <text>
        <r>
          <rPr>
            <sz val="10"/>
            <rFont val="Arial"/>
            <family val="2"/>
          </rPr>
          <t>De las últimas 12 publicaciones, cuántas tratan origen, productores o proceso
Valores: 0–12</t>
        </r>
      </text>
    </comment>
    <comment ref="AP1" authorId="0" shapeId="0" xr:uid="{00000000-0006-0000-0200-00002A000000}">
      <text>
        <r>
          <rPr>
            <sz val="10"/>
            <rFont val="Arial"/>
            <family val="2"/>
          </rPr>
          <t>Calificación en Google Maps (1.0–5.0)
Valores: 1–5</t>
        </r>
      </text>
    </comment>
    <comment ref="AQ1" authorId="0" shapeId="0" xr:uid="{00000000-0006-0000-0200-00002B000000}">
      <text>
        <r>
          <rPr>
            <sz val="10"/>
            <rFont val="Arial"/>
            <family val="2"/>
          </rPr>
          <t>Número de reseñas en Google Maps
Valores: ≥ 0</t>
        </r>
      </text>
    </comment>
    <comment ref="AR1" authorId="0" shapeId="0" xr:uid="{00000000-0006-0000-0200-00002C000000}">
      <text>
        <r>
          <rPr>
            <sz val="10"/>
            <rFont val="Arial"/>
            <family val="2"/>
          </rPr>
          <t>Se tomaron fotos del espacio sin personas identificables (1 = sí)</t>
        </r>
      </text>
    </comment>
    <comment ref="AS1" authorId="0" shapeId="0" xr:uid="{00000000-0006-0000-0200-00002D000000}">
      <text>
        <r>
          <rPr>
            <sz val="10"/>
            <rFont val="Arial"/>
            <family val="2"/>
          </rPr>
          <t>Observaciones cualitativas (hechos relevantes del lugar o de la visita)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300-000001000000}">
      <text>
        <r>
          <rPr>
            <sz val="10"/>
            <rFont val="Arial"/>
            <family val="2"/>
          </rPr>
          <t>ID único de la encuesta (E-cafe-número, p. ej. E-C01-01)</t>
        </r>
      </text>
    </comment>
    <comment ref="B1" authorId="0" shapeId="0" xr:uid="{00000000-0006-0000-0300-000002000000}">
      <text>
        <r>
          <rPr>
            <sz val="10"/>
            <rFont val="Arial"/>
            <family val="2"/>
          </rPr>
          <t>ID del café donde se hizo la encuesta</t>
        </r>
      </text>
    </comment>
    <comment ref="C1" authorId="0" shapeId="0" xr:uid="{00000000-0006-0000-0300-000003000000}">
      <text>
        <r>
          <rPr>
            <sz val="10"/>
            <rFont val="Arial"/>
            <family val="2"/>
          </rPr>
          <t>Fecha</t>
        </r>
      </text>
    </comment>
    <comment ref="D1" authorId="0" shapeId="0" xr:uid="{00000000-0006-0000-0300-000004000000}">
      <text>
        <r>
          <rPr>
            <sz val="10"/>
            <rFont val="Arial"/>
            <family val="2"/>
          </rPr>
          <t>Hora de inicio (HH:MM)</t>
        </r>
      </text>
    </comment>
    <comment ref="E1" authorId="0" shapeId="0" xr:uid="{00000000-0006-0000-0300-000005000000}">
      <text>
        <r>
          <rPr>
            <sz val="10"/>
            <rFont val="Arial"/>
            <family val="2"/>
          </rPr>
          <t>Quién aplicó la encuesta (A, B o C)
Valores: A | B | C</t>
        </r>
      </text>
    </comment>
    <comment ref="F1" authorId="0" shapeId="0" xr:uid="{00000000-0006-0000-0300-000006000000}">
      <text>
        <r>
          <rPr>
            <sz val="10"/>
            <rFont val="Arial"/>
            <family val="2"/>
          </rPr>
          <t>La persona es mayor de edad y aceptó participar (1 = sí)</t>
        </r>
      </text>
    </comment>
    <comment ref="G1" authorId="0" shapeId="0" xr:uid="{00000000-0006-0000-0300-000007000000}">
      <text>
        <r>
          <rPr>
            <sz val="10"/>
            <rFont val="Arial"/>
            <family val="2"/>
          </rPr>
          <t>¿Con qué frecuencia viene a este café?
Valores: Primera vez | Menos de 1 vez al mes | 1–3 veces al mes | Semanal o más</t>
        </r>
      </text>
    </comment>
    <comment ref="H1" authorId="0" shapeId="0" xr:uid="{00000000-0006-0000-0300-000008000000}">
      <text>
        <r>
          <rPr>
            <sz val="10"/>
            <rFont val="Arial"/>
            <family val="2"/>
          </rPr>
          <t>¿Cuál es el motivo principal de su visita de hoy?
Valores: Trabajo o estudio | Reunión social | Probar café de especialidad | Pausa rápida o rutina | Otro</t>
        </r>
      </text>
    </comment>
    <comment ref="I1" authorId="0" shapeId="0" xr:uid="{00000000-0006-0000-0300-000009000000}">
      <text>
        <r>
          <rPr>
            <sz val="10"/>
            <rFont val="Arial"/>
            <family val="2"/>
          </rPr>
          <t>¿Cómo conoció este café?
Valores: Redes sociales | Recomendación | Pasó por el lugar | Google Maps u otra app | Otro</t>
        </r>
      </text>
    </comment>
    <comment ref="J1" authorId="0" shapeId="0" xr:uid="{00000000-0006-0000-0300-00000A000000}">
      <text>
        <r>
          <rPr>
            <sz val="10"/>
            <rFont val="Arial"/>
            <family val="2"/>
          </rPr>
          <t>¿Cuánto tiempo planea quedarse hoy? (minutos aproximados)
Valores: ≥ 0</t>
        </r>
      </text>
    </comment>
    <comment ref="K1" authorId="0" shapeId="0" xr:uid="{00000000-0006-0000-0300-00000B000000}">
      <text>
        <r>
          <rPr>
            <sz val="10"/>
            <rFont val="Arial"/>
            <family val="2"/>
          </rPr>
          <t>Importancia: calidad del café (1 = nada importante … 5 = muy importante)</t>
        </r>
      </text>
    </comment>
    <comment ref="L1" authorId="0" shapeId="0" xr:uid="{00000000-0006-0000-0300-00000C000000}">
      <text>
        <r>
          <rPr>
            <sz val="10"/>
            <rFont val="Arial"/>
            <family val="2"/>
          </rPr>
          <t>Importancia: ambiente y decoración</t>
        </r>
      </text>
    </comment>
    <comment ref="M1" authorId="0" shapeId="0" xr:uid="{00000000-0006-0000-0300-00000D000000}">
      <text>
        <r>
          <rPr>
            <sz val="10"/>
            <rFont val="Arial"/>
            <family val="2"/>
          </rPr>
          <t>Importancia: que le cuenten el origen y la historia del café</t>
        </r>
      </text>
    </comment>
    <comment ref="N1" authorId="0" shapeId="0" xr:uid="{00000000-0006-0000-0300-00000E000000}">
      <text>
        <r>
          <rPr>
            <sz val="10"/>
            <rFont val="Arial"/>
            <family val="2"/>
          </rPr>
          <t>Importancia: la atención del personal</t>
        </r>
      </text>
    </comment>
    <comment ref="O1" authorId="0" shapeId="0" xr:uid="{00000000-0006-0000-0300-00000F000000}">
      <text>
        <r>
          <rPr>
            <sz val="10"/>
            <rFont val="Arial"/>
            <family val="2"/>
          </rPr>
          <t>Importancia: el precio</t>
        </r>
      </text>
    </comment>
    <comment ref="P1" authorId="0" shapeId="0" xr:uid="{00000000-0006-0000-0300-000010000000}">
      <text>
        <r>
          <rPr>
            <sz val="10"/>
            <rFont val="Arial"/>
            <family val="2"/>
          </rPr>
          <t>Importancia: la ubicación o cercanía</t>
        </r>
      </text>
    </comment>
    <comment ref="Q1" authorId="0" shapeId="0" xr:uid="{00000000-0006-0000-0300-000011000000}">
      <text>
        <r>
          <rPr>
            <sz val="10"/>
            <rFont val="Arial"/>
            <family val="2"/>
          </rPr>
          <t>Importancia: la presencia en redes sociales</t>
        </r>
      </text>
    </comment>
    <comment ref="R1" authorId="0" shapeId="0" xr:uid="{00000000-0006-0000-0300-000012000000}">
      <text>
        <r>
          <rPr>
            <sz val="10"/>
            <rFont val="Arial"/>
            <family val="2"/>
          </rPr>
          <t>De esos siete factores, ¿cuál es el MÁS importante para usted?
Valores: Calidad del café | Ambiente | Historia y origen | Atención | Precio | Ubicación | Redes sociales</t>
        </r>
      </text>
    </comment>
    <comment ref="S1" authorId="0" shapeId="0" xr:uid="{00000000-0006-0000-0300-000013000000}">
      <text>
        <r>
          <rPr>
            <sz val="10"/>
            <rFont val="Arial"/>
            <family val="2"/>
          </rPr>
          <t>El ambiente de este café es agradable (1 = totalmente en desacuerdo … 5 = totalmente de acuerdo)</t>
        </r>
      </text>
    </comment>
    <comment ref="T1" authorId="0" shapeId="0" xr:uid="{00000000-0006-0000-0300-000014000000}">
      <text>
        <r>
          <rPr>
            <sz val="10"/>
            <rFont val="Arial"/>
            <family val="2"/>
          </rPr>
          <t>Este café se siente distinto a otras cafeterías de especialidad</t>
        </r>
      </text>
    </comment>
    <comment ref="U1" authorId="0" shapeId="0" xr:uid="{00000000-0006-0000-0300-000015000000}">
      <text>
        <r>
          <rPr>
            <sz val="10"/>
            <rFont val="Arial"/>
            <family val="2"/>
          </rPr>
          <t>En este café me han explicado o he podido conocer el origen del café</t>
        </r>
      </text>
    </comment>
    <comment ref="V1" authorId="0" shapeId="0" xr:uid="{00000000-0006-0000-0300-000016000000}">
      <text>
        <r>
          <rPr>
            <sz val="10"/>
            <rFont val="Arial"/>
            <family val="2"/>
          </rPr>
          <t>La historia de este café me resulta interesante o me conecta con él</t>
        </r>
      </text>
    </comment>
    <comment ref="W1" authorId="0" shapeId="0" xr:uid="{00000000-0006-0000-0300-000017000000}">
      <text>
        <r>
          <rPr>
            <sz val="10"/>
            <rFont val="Arial"/>
            <family val="2"/>
          </rPr>
          <t>La calidad del café aquí es alta</t>
        </r>
      </text>
    </comment>
    <comment ref="X1" authorId="0" shapeId="0" xr:uid="{00000000-0006-0000-0300-000018000000}">
      <text>
        <r>
          <rPr>
            <sz val="10"/>
            <rFont val="Arial"/>
            <family val="2"/>
          </rPr>
          <t>La atención aquí es rápida y amable</t>
        </r>
      </text>
    </comment>
    <comment ref="Y1" authorId="0" shapeId="0" xr:uid="{00000000-0006-0000-0300-000019000000}">
      <text>
        <r>
          <rPr>
            <sz val="10"/>
            <rFont val="Arial"/>
            <family val="2"/>
          </rPr>
          <t>¿Puede decir de dónde viene el café que toma o algún dato de la historia de este café? (1 = menciona al menos un dato concreto)</t>
        </r>
      </text>
    </comment>
    <comment ref="Z1" authorId="0" shapeId="0" xr:uid="{00000000-0006-0000-0300-00001A000000}">
      <text>
        <r>
          <rPr>
            <sz val="10"/>
            <rFont val="Arial"/>
            <family val="2"/>
          </rPr>
          <t>Lo que mencionó (transcripción breve; vacío si no recuerda)</t>
        </r>
      </text>
    </comment>
    <comment ref="AA1" authorId="0" shapeId="0" xr:uid="{00000000-0006-0000-0300-00001B000000}">
      <text>
        <r>
          <rPr>
            <sz val="10"/>
            <rFont val="Arial"/>
            <family val="2"/>
          </rPr>
          <t>En una frase: ¿qué hace diferente a este café de otras cafeterías de especialidad?</t>
        </r>
      </text>
    </comment>
    <comment ref="AB1" authorId="0" shapeId="0" xr:uid="{00000000-0006-0000-0300-00001C000000}">
      <text>
        <r>
          <rPr>
            <sz val="10"/>
            <rFont val="Arial"/>
            <family val="2"/>
          </rPr>
          <t>Categoría de la respuesta anterior (se llena en la limpieza, NO en campo)
Valores: Calidad del café | Ambiente | Historia y origen | Atención | Precio | Ubicación | Otro | Nada / no sabe</t>
        </r>
      </text>
    </comment>
    <comment ref="AC1" authorId="0" shapeId="0" xr:uid="{00000000-0006-0000-0300-00001D000000}">
      <text>
        <r>
          <rPr>
            <sz val="10"/>
            <rFont val="Arial"/>
            <family val="2"/>
          </rPr>
          <t>Del 0 al 10, ¿qué tan probable es que recomiende este café a un amigo?</t>
        </r>
      </text>
    </comment>
    <comment ref="AD1" authorId="0" shapeId="0" xr:uid="{00000000-0006-0000-0300-00001E000000}">
      <text>
        <r>
          <rPr>
            <sz val="10"/>
            <rFont val="Arial"/>
            <family val="2"/>
          </rPr>
          <t>¿Qué tan probable es que vuelva en los próximos 30 días? (1 = nada probable … 5 = muy probable)</t>
        </r>
      </text>
    </comment>
    <comment ref="AE1" authorId="0" shapeId="0" xr:uid="{00000000-0006-0000-0300-00001F000000}">
      <text>
        <r>
          <rPr>
            <sz val="10"/>
            <rFont val="Arial"/>
            <family val="2"/>
          </rPr>
          <t>Además de este, ¿a cuántas otras cafeterías de especialidad fue el último mes?
Valores: Ninguno | 1–2 | 3–5 | 6 o más</t>
        </r>
      </text>
    </comment>
    <comment ref="AF1" authorId="0" shapeId="0" xr:uid="{00000000-0006-0000-0300-000020000000}">
      <text>
        <r>
          <rPr>
            <sz val="10"/>
            <rFont val="Arial"/>
            <family val="2"/>
          </rPr>
          <t>Frente a otras cafeterías de especialidad de la zona, este café es…
Valores: Es mi primera opción | Una de varias opciones | Vine por esta vez</t>
        </r>
      </text>
    </comment>
    <comment ref="AG1" authorId="0" shapeId="0" xr:uid="{00000000-0006-0000-0300-000021000000}">
      <text>
        <r>
          <rPr>
            <sz val="10"/>
            <rFont val="Arial"/>
            <family val="2"/>
          </rPr>
          <t>¿Cuánto gastó o gastará hoy aquí en total? (COP, aprox.)
Valores: ≥ 0</t>
        </r>
      </text>
    </comment>
    <comment ref="AH1" authorId="0" shapeId="0" xr:uid="{00000000-0006-0000-0300-000022000000}">
      <text>
        <r>
          <rPr>
            <sz val="10"/>
            <rFont val="Arial"/>
            <family val="2"/>
          </rPr>
          <t>¿Cuál es el precio MÁXIMO que pagaría por un capuchino aquí antes de buscar otro café? (COP)
Valores: ≥ 0</t>
        </r>
      </text>
    </comment>
    <comment ref="AI1" authorId="0" shapeId="0" xr:uid="{00000000-0006-0000-0300-000023000000}">
      <text>
        <r>
          <rPr>
            <sz val="10"/>
            <rFont val="Arial"/>
            <family val="2"/>
          </rPr>
          <t>Por la misma bebida, ¿pagaría en este café…
Valores: Más que en otras | Igual | Menos que en otras</t>
        </r>
      </text>
    </comment>
    <comment ref="AJ1" authorId="0" shapeId="0" xr:uid="{00000000-0006-0000-0300-000024000000}">
      <text>
        <r>
          <rPr>
            <sz val="10"/>
            <rFont val="Arial"/>
            <family val="2"/>
          </rPr>
          <t>Rango de edad (para describir la demanda por grupos)
Valores: 18–24 | 25–34 | 35–44 | 45–54 | 55 o más</t>
        </r>
      </text>
    </comment>
    <comment ref="AK1" authorId="0" shapeId="0" xr:uid="{00000000-0006-0000-0300-000025000000}">
      <text>
        <r>
          <rPr>
            <sz val="10"/>
            <rFont val="Arial"/>
            <family val="2"/>
          </rPr>
          <t>Ocupación principal
Valores: Estudiante | Empleado/a | Independiente | Otra</t>
        </r>
      </text>
    </comment>
    <comment ref="AL1" authorId="0" shapeId="0" xr:uid="{00000000-0006-0000-0300-000026000000}">
      <text>
        <r>
          <rPr>
            <sz val="10"/>
            <rFont val="Arial"/>
            <family val="2"/>
          </rPr>
          <t>Relación con la zona del café
Valores: Vive cerca | Trabaja o estudia cerca | Viene de otra zona | Turista</t>
        </r>
      </text>
    </comment>
    <comment ref="AM1" authorId="0" shapeId="0" xr:uid="{00000000-0006-0000-0300-000027000000}">
      <text>
        <r>
          <rPr>
            <sz val="10"/>
            <rFont val="Arial"/>
            <family val="2"/>
          </rPr>
          <t>Observaciones del encuestador (dudas, interrupciones, contexto)</t>
        </r>
      </text>
    </comment>
  </commentList>
</comments>
</file>

<file path=xl/sharedStrings.xml><?xml version="1.0" encoding="utf-8"?>
<sst xmlns="http://schemas.openxmlformats.org/spreadsheetml/2006/main" count="1014" uniqueCount="419">
  <si>
    <t>BASE DE DATOS A LLENAR · Cafeterías de especialidad en Bogotá</t>
  </si>
  <si>
    <t>Haciendo Economía 2026-2 · Protocolo de trabajo de campo (Entrega 3b)</t>
  </si>
  <si>
    <t>CÓMO USAR ESTE ARCHIVO</t>
  </si>
  <si>
    <t>1. Hoja Ficha_Cafe: una fila por café (observación). Hoja Encuestas: una fila por cliente encuestado (meta: 8 por café, 96 en total).</t>
  </si>
  <si>
    <t>2. La fila 2 (amarilla, cursiva) de Ficha_Cafe y Encuestas es un EJEMPLO del formato esperado. Se deja como guía y el script de limpieza la ignora (cafe_id/enc_id = EJEMPLO). Los datos reales empiezan en la fila 3.</t>
  </si>
  <si>
    <t>3. Los nombres de columna (fila 1) son los nombres de variable del Diccionario. No los cambie. Pase el mouse sobre el encabezado para ver la pregunta completa.</t>
  </si>
  <si>
    <t>4. Las columnas grises (índices) se calculan solas: no escriba en ellas.</t>
  </si>
  <si>
    <t>5. Las celdas tienen listas desplegables y validaciones de rango. Use siempre el mismo ID de café (C01…C12) en ambas hojas.</t>
  </si>
  <si>
    <t>6. Hojas de apoyo: Muestra_Cafes (plan de visitas y reparto), Abordajes (tasa de respuesta), Avance (control automático de metas), Piloto (registro de ajustes y acuerdo entre observadores), Diccionario y Listas.</t>
  </si>
  <si>
    <t>7. Los datos originales NO se editan después de salir de campo: las correcciones se hacen en los scripts de limpieza (carpeta del proyecto, scripts/).</t>
  </si>
  <si>
    <t>8. No se registran nombres, teléfonos, correos ni documentos de los clientes. El único dato nominal es el nombre del negocio.</t>
  </si>
  <si>
    <t>Convención de ID: café = C01–C12 · piloto = P1–P2 · reemplazos = R1–R4 · encuesta = E-C01-01 (E - café - número consecutivo).</t>
  </si>
  <si>
    <t>cafe_id</t>
  </si>
  <si>
    <t>zona_muestreo</t>
  </si>
  <si>
    <t>id_mapa</t>
  </si>
  <si>
    <t>nombre_cafe</t>
  </si>
  <si>
    <t>tipo_negocio</t>
  </si>
  <si>
    <t>responsable</t>
  </si>
  <si>
    <t>dia_tipo</t>
  </si>
  <si>
    <t>franja</t>
  </si>
  <si>
    <t>fecha_prevista</t>
  </si>
  <si>
    <t>meta_encuestas</t>
  </si>
  <si>
    <t>estado</t>
  </si>
  <si>
    <t>C01</t>
  </si>
  <si>
    <t>Z1 Chapinero</t>
  </si>
  <si>
    <t>A</t>
  </si>
  <si>
    <t>Entre semana</t>
  </si>
  <si>
    <t>Mañana (8–11)</t>
  </si>
  <si>
    <t>Pendiente</t>
  </si>
  <si>
    <t>C02</t>
  </si>
  <si>
    <t>B</t>
  </si>
  <si>
    <t>Tarde (14–17)</t>
  </si>
  <si>
    <t>C03</t>
  </si>
  <si>
    <t>C</t>
  </si>
  <si>
    <t>Fin de semana</t>
  </si>
  <si>
    <t>C04</t>
  </si>
  <si>
    <t>Z2 Usaquén</t>
  </si>
  <si>
    <t>C05</t>
  </si>
  <si>
    <t>C06</t>
  </si>
  <si>
    <t>C07</t>
  </si>
  <si>
    <t>Z3 Teusaquillo–Barrios Unidos</t>
  </si>
  <si>
    <t>C08</t>
  </si>
  <si>
    <t>Z4 Centro</t>
  </si>
  <si>
    <t>P1</t>
  </si>
  <si>
    <t>Nota: id_mapa, nombre_cafe y tipo_negocio se completan con el mapa de la Entrega 3a. Reglas de selección y reemplazo: ver Plan de análisis, sección 3.</t>
  </si>
  <si>
    <t>localidad</t>
  </si>
  <si>
    <t>fecha</t>
  </si>
  <si>
    <t>observador</t>
  </si>
  <si>
    <t>autorizacion_local</t>
  </si>
  <si>
    <t>st1</t>
  </si>
  <si>
    <t>st2</t>
  </si>
  <si>
    <t>st3</t>
  </si>
  <si>
    <t>st4</t>
  </si>
  <si>
    <t>st5</t>
  </si>
  <si>
    <t>st6</t>
  </si>
  <si>
    <t>st7</t>
  </si>
  <si>
    <t>st8</t>
  </si>
  <si>
    <t>am1</t>
  </si>
  <si>
    <t>am2</t>
  </si>
  <si>
    <t>am3</t>
  </si>
  <si>
    <t>am4</t>
  </si>
  <si>
    <t>am5</t>
  </si>
  <si>
    <t>am6</t>
  </si>
  <si>
    <t>am7</t>
  </si>
  <si>
    <t>am8</t>
  </si>
  <si>
    <t>idx_story</t>
  </si>
  <si>
    <t>idx_amb</t>
  </si>
  <si>
    <t>idx_story_10</t>
  </si>
  <si>
    <t>idx_amb_10</t>
  </si>
  <si>
    <t>ruido_1a5</t>
  </si>
  <si>
    <t>ocupacion_pct</t>
  </si>
  <si>
    <t>espera_min</t>
  </si>
  <si>
    <t>presentacion_1a5</t>
  </si>
  <si>
    <t>precio_capuchino_cop</t>
  </si>
  <si>
    <t>ofrece_filtrados</t>
  </si>
  <si>
    <t>precio_filtrado_cop</t>
  </si>
  <si>
    <t>tiene_instagram</t>
  </si>
  <si>
    <t>seguidores_ig</t>
  </si>
  <si>
    <t>pub_origen_ig</t>
  </si>
  <si>
    <t>google_rating</t>
  </si>
  <si>
    <t>google_resenas</t>
  </si>
  <si>
    <t>fotos_ok</t>
  </si>
  <si>
    <t>obs_texto</t>
  </si>
  <si>
    <t>EJEMPLO</t>
  </si>
  <si>
    <t>M-000</t>
  </si>
  <si>
    <t>Café Ejemplo</t>
  </si>
  <si>
    <t>Chapinero</t>
  </si>
  <si>
    <t>Independiente (1 local)</t>
  </si>
  <si>
    <t>Mural con mapa de fincas</t>
  </si>
  <si>
    <t>enc_id</t>
  </si>
  <si>
    <t>hora</t>
  </si>
  <si>
    <t>encuestador</t>
  </si>
  <si>
    <t>consentimiento</t>
  </si>
  <si>
    <t>freq_visita</t>
  </si>
  <si>
    <t>motivo_visita</t>
  </si>
  <si>
    <t>como_conocio</t>
  </si>
  <si>
    <t>minutos_permanencia</t>
  </si>
  <si>
    <t>imp_calidad</t>
  </si>
  <si>
    <t>imp_ambiente</t>
  </si>
  <si>
    <t>imp_historia</t>
  </si>
  <si>
    <t>imp_atencion</t>
  </si>
  <si>
    <t>imp_precio</t>
  </si>
  <si>
    <t>imp_ubicacion</t>
  </si>
  <si>
    <t>imp_redes</t>
  </si>
  <si>
    <t>imp_primero</t>
  </si>
  <si>
    <t>per_ambiente</t>
  </si>
  <si>
    <t>per_distintivo</t>
  </si>
  <si>
    <t>per_origen</t>
  </si>
  <si>
    <t>per_historia</t>
  </si>
  <si>
    <t>per_calidad</t>
  </si>
  <si>
    <t>per_atencion</t>
  </si>
  <si>
    <t>recuerda_dato</t>
  </si>
  <si>
    <t>recuerda_dato_txt</t>
  </si>
  <si>
    <t>diferencia_txt</t>
  </si>
  <si>
    <t>diferencia_cod</t>
  </si>
  <si>
    <t>nps_recomienda</t>
  </si>
  <si>
    <t>prob_volver</t>
  </si>
  <si>
    <t>n_otros_cafes</t>
  </si>
  <si>
    <t>primera_opcion</t>
  </si>
  <si>
    <t>gasto_hoy_cop</t>
  </si>
  <si>
    <t>dap_max_capuchino</t>
  </si>
  <si>
    <t>dap_vs_otras</t>
  </si>
  <si>
    <t>edad_rango</t>
  </si>
  <si>
    <t>ocupacion</t>
  </si>
  <si>
    <t>relacion_zona</t>
  </si>
  <si>
    <t>obs_encuestador</t>
  </si>
  <si>
    <t>09:40</t>
  </si>
  <si>
    <t>1–3 veces al mes</t>
  </si>
  <si>
    <t>Reunión social</t>
  </si>
  <si>
    <t>Redes sociales</t>
  </si>
  <si>
    <t>Calidad del café</t>
  </si>
  <si>
    <t>El mural y que explican el café</t>
  </si>
  <si>
    <t>1–2</t>
  </si>
  <si>
    <t>Una de varias opciones</t>
  </si>
  <si>
    <t>Igual</t>
  </si>
  <si>
    <t>25–34</t>
  </si>
  <si>
    <t>Empleado/a</t>
  </si>
  <si>
    <t>Trabaja o estudia cerca</t>
  </si>
  <si>
    <t>abordados</t>
  </si>
  <si>
    <t>aceptaron</t>
  </si>
  <si>
    <t>rechazaron</t>
  </si>
  <si>
    <t>no_elegibles</t>
  </si>
  <si>
    <t>chequeo</t>
  </si>
  <si>
    <t>Tasa de aceptación</t>
  </si>
  <si>
    <t>Fórmula: aceptaron / (abordados − no elegibles). La fila de ejemplo no se cuenta.</t>
  </si>
  <si>
    <t>encuestas_hechas</t>
  </si>
  <si>
    <t>meta</t>
  </si>
  <si>
    <t>% avance</t>
  </si>
  <si>
    <t>ficha_lista</t>
  </si>
  <si>
    <t>TOTAL</t>
  </si>
  <si>
    <t>A. Registro de problemas y ajustes (completar durante el piloto)</t>
  </si>
  <si>
    <t>cafe_id (P1/P2)</t>
  </si>
  <si>
    <t>quién</t>
  </si>
  <si>
    <t>variable o pregunta</t>
  </si>
  <si>
    <t>problema observado</t>
  </si>
  <si>
    <t>ajuste hecho</t>
  </si>
  <si>
    <t>versión resultante</t>
  </si>
  <si>
    <t>Dos personas pidieron aclarar «distinto»</t>
  </si>
  <si>
    <t>Se cambió a «diferente a otras cafeterías de especialidad»</t>
  </si>
  <si>
    <t>v1.1</t>
  </si>
  <si>
    <t>B. Acuerdo entre observadores en la ficha (los tres califican el MISMO café piloto, de forma independiente)</t>
  </si>
  <si>
    <t>ítem</t>
  </si>
  <si>
    <t>Observador A</t>
  </si>
  <si>
    <t>Observador B</t>
  </si>
  <si>
    <t>Observador C</t>
  </si>
  <si>
    <t>¿Coinciden los 3? (1/0)</t>
  </si>
  <si>
    <t>Acuerdo total</t>
  </si>
  <si>
    <t>Regla: si el acuerdo en un ítem es &lt; 80 % entre los pilotos, se reescribe su definición en la ficha antes de salir a campo.</t>
  </si>
  <si>
    <t>variable</t>
  </si>
  <si>
    <t>hoja</t>
  </si>
  <si>
    <t>bloque</t>
  </si>
  <si>
    <t>pregunta o ítem</t>
  </si>
  <si>
    <t>tipo</t>
  </si>
  <si>
    <t>valores permitidos</t>
  </si>
  <si>
    <t>obligatoria</t>
  </si>
  <si>
    <t>uso en el análisis</t>
  </si>
  <si>
    <t>Ficha_Cafe</t>
  </si>
  <si>
    <t>Identificación</t>
  </si>
  <si>
    <t>ID único del café (C01–C12; P1–P2 piloto; R1–R4 reemplazos)</t>
  </si>
  <si>
    <t>texto</t>
  </si>
  <si>
    <t>libre</t>
  </si>
  <si>
    <t>Sí</t>
  </si>
  <si>
    <t>Llave de unión con la hoja Encuestas</t>
  </si>
  <si>
    <t>ID del café en el shapefile de la Entrega 3a</t>
  </si>
  <si>
    <t>Unir con el mapa y los análisis espaciales</t>
  </si>
  <si>
    <t>Nombre del negocio</t>
  </si>
  <si>
    <t>Identificación (el nombre del negocio es el único dato nominal)</t>
  </si>
  <si>
    <t>Localidad donde está el café</t>
  </si>
  <si>
    <t>categórica</t>
  </si>
  <si>
    <t>Chapinero | Usaquén | Teusaquillo | Barrios Unidos | Santa Fe | La Candelaria | Suba | Otra</t>
  </si>
  <si>
    <t>Descriptivo / control</t>
  </si>
  <si>
    <t>Estrato geográfico del muestreo</t>
  </si>
  <si>
    <t>Z1 Chapinero | Z2 Usaquén | Z3 Teusaquillo–Barrios Unidos | Z4 Centro</t>
  </si>
  <si>
    <t>Estratificación y comparaciones por zona</t>
  </si>
  <si>
    <t>Tipo de negocio</t>
  </si>
  <si>
    <t>Independiente (1 local) | Pequeña cadena (2–5 locales) | Cadena grande (6+ locales) | Tostadora con cafetería</t>
  </si>
  <si>
    <t>Control / comparación por modelo de negocio</t>
  </si>
  <si>
    <t>Fecha de la visita</t>
  </si>
  <si>
    <t>Control de campo</t>
  </si>
  <si>
    <t>Tipo de día</t>
  </si>
  <si>
    <t>Entre semana | Fin de semana</t>
  </si>
  <si>
    <t>Control (diferencias de afluencia y perfil)</t>
  </si>
  <si>
    <t>Franja horaria de la visita</t>
  </si>
  <si>
    <t>Mañana (8–11) | Tarde (14–17)</t>
  </si>
  <si>
    <t>Control</t>
  </si>
  <si>
    <t>Quién llenó la ficha (A, B o C)</t>
  </si>
  <si>
    <t>A | B | C</t>
  </si>
  <si>
    <t>Control de calidad / acuerdo entre observadores</t>
  </si>
  <si>
    <t>El administrador autorizó la visita y las fotos del espacio (1 = sí)</t>
  </si>
  <si>
    <t>binaria</t>
  </si>
  <si>
    <t>1 = sí · 0 = no</t>
  </si>
  <si>
    <t>Control ético</t>
  </si>
  <si>
    <t>Storytelling (1 = presente · 0 = ausente)</t>
  </si>
  <si>
    <t>La carta o menú menciona el origen del café (región, finca o productor)</t>
  </si>
  <si>
    <t>Índice de storytelling</t>
  </si>
  <si>
    <t>Hay explicación visible del proceso o método (carteles, pizarra, barra)</t>
  </si>
  <si>
    <t>La historia o filosofía del negocio es visible en el local (muro, carta, QR)</t>
  </si>
  <si>
    <t>Al preguntar «¿de dónde es este café?», el personal responde con un dato específico (región, finca o productor)</t>
  </si>
  <si>
    <t>Ofrece catas, talleres, recorridos o experiencias guiadas (anunciadas o disponibles)</t>
  </si>
  <si>
    <t>Vende café en grano o empaque con información de origen y tostión</t>
  </si>
  <si>
    <t>En Instagram o web, al menos 2 de las últimas 12 publicaciones tratan de origen, productores o proceso</t>
  </si>
  <si>
    <t>Comunica su relación con productores o prácticas de sostenibilidad (comercio directo, trazabilidad)</t>
  </si>
  <si>
    <t>Ambientación (1 = presente · 0 = ausente)</t>
  </si>
  <si>
    <t>Identidad visual coherente (diseño, colores, logo, mobiliario)</t>
  </si>
  <si>
    <t>Índice de ambientación</t>
  </si>
  <si>
    <t>Iluminación agradable (natural o cálida)</t>
  </si>
  <si>
    <t>Música ambiente presente y a un volumen que permite conversar</t>
  </si>
  <si>
    <t>Aroma a café perceptible al entrar</t>
  </si>
  <si>
    <t>Zonas diferenciadas (barra, mesas, zona de trabajo, exterior)</t>
  </si>
  <si>
    <t>Mobiliario cómodo (sillas con espaldar, sofás, mesas suficientes)</t>
  </si>
  <si>
    <t>Barra de preparación a la vista del cliente</t>
  </si>
  <si>
    <t>Elementos decorativos alusivos al café (origen, utensilios, plantas, arte)</t>
  </si>
  <si>
    <t>Índices (se calculan solos)</t>
  </si>
  <si>
    <t>Índice de storytelling (suma st1–st8, rango 0–8)</t>
  </si>
  <si>
    <t>calculada</t>
  </si>
  <si>
    <t>fórmula automática</t>
  </si>
  <si>
    <t>Auto</t>
  </si>
  <si>
    <t>Variable explicativa principal</t>
  </si>
  <si>
    <t>Índice de ambientación (suma am1–am8, rango 0–8)</t>
  </si>
  <si>
    <t>Índice de storytelling reescalado 0–10</t>
  </si>
  <si>
    <t>Presentación en gráficos y tablas</t>
  </si>
  <si>
    <t>Índice de ambientación reescalado 0–10</t>
  </si>
  <si>
    <t>Medidas en el local</t>
  </si>
  <si>
    <t>Nivel de ruido percibido (1 = muy silencioso … 5 = muy ruidoso)</t>
  </si>
  <si>
    <t>escala 1–5</t>
  </si>
  <si>
    <t>1, 2, 3, 4, 5</t>
  </si>
  <si>
    <t>Control / ambientación percibida</t>
  </si>
  <si>
    <t>Mesas ocupadas / mesas totales al llegar (%)</t>
  </si>
  <si>
    <t>numérica</t>
  </si>
  <si>
    <t>0–100</t>
  </si>
  <si>
    <t>Control de afluencia</t>
  </si>
  <si>
    <t>Minutos entre pedir y recibir una bebida</t>
  </si>
  <si>
    <t>≥ 0</t>
  </si>
  <si>
    <t>Control de servicio</t>
  </si>
  <si>
    <t>Presentación de la bebida pedida (1 = muy básica … 5 = muy cuidada)</t>
  </si>
  <si>
    <t>Control de calidad visible</t>
  </si>
  <si>
    <t>Precio del capuchino o latte (12 oz o el más parecido), en COP</t>
  </si>
  <si>
    <t>Precio de referencia; prima de precio</t>
  </si>
  <si>
    <t>Ofrece métodos de filtrado (V60, Chemex, etc.) (1 = sí)</t>
  </si>
  <si>
    <t>Descriptivo de oferta de especialidad</t>
  </si>
  <si>
    <t>Precio del café filtrado más barato, en COP (vacío si no ofrece)</t>
  </si>
  <si>
    <t>No</t>
  </si>
  <si>
    <t>Descriptivo de precios</t>
  </si>
  <si>
    <t>Presencia digital</t>
  </si>
  <si>
    <t>Tiene cuenta de Instagram activa (1 = sí)</t>
  </si>
  <si>
    <t>Relación experiencia física–presencia digital</t>
  </si>
  <si>
    <t>Número de seguidores en Instagram</t>
  </si>
  <si>
    <t>De las últimas 12 publicaciones, cuántas tratan origen, productores o proceso</t>
  </si>
  <si>
    <t>0–12</t>
  </si>
  <si>
    <t>Verificar st7; presencia digital</t>
  </si>
  <si>
    <t>Calificación en Google Maps (1.0–5.0)</t>
  </si>
  <si>
    <t>1–5</t>
  </si>
  <si>
    <t>Posicionamiento digital (dato público)</t>
  </si>
  <si>
    <t>Número de reseñas en Google Maps</t>
  </si>
  <si>
    <t>Notas y evidencia</t>
  </si>
  <si>
    <t>Se tomaron fotos del espacio sin personas identificables (1 = sí)</t>
  </si>
  <si>
    <t>Control ético y de evidencia</t>
  </si>
  <si>
    <t>Observaciones cualitativas (hechos relevantes del lugar o de la visita)</t>
  </si>
  <si>
    <t>Informe de trabajo de campo (Entrega 4)</t>
  </si>
  <si>
    <t>Encuestas</t>
  </si>
  <si>
    <t>Control (lo llena el encuestador)</t>
  </si>
  <si>
    <t>ID único de la encuesta (E-cafe-número, p. ej. E-C01-01)</t>
  </si>
  <si>
    <t>Llave primaria</t>
  </si>
  <si>
    <t>ID del café donde se hizo la encuesta</t>
  </si>
  <si>
    <t>Unión con Ficha_Cafe</t>
  </si>
  <si>
    <t>Fecha</t>
  </si>
  <si>
    <t>Hora de inicio (HH:MM)</t>
  </si>
  <si>
    <t>Control (hora del día)</t>
  </si>
  <si>
    <t>Quién aplicó la encuesta (A, B o C)</t>
  </si>
  <si>
    <t>Control de calidad</t>
  </si>
  <si>
    <t>La persona es mayor de edad y aceptó participar (1 = sí)</t>
  </si>
  <si>
    <t>Solo se registra la encuesta si es 1</t>
  </si>
  <si>
    <t>A. Su visita</t>
  </si>
  <si>
    <t>¿Con qué frecuencia viene a este café?</t>
  </si>
  <si>
    <t>Primera vez | Menos de 1 vez al mes | 1–3 veces al mes | Semanal o más</t>
  </si>
  <si>
    <t>Descriptivo de demanda; control de lealtad previa</t>
  </si>
  <si>
    <t>¿Cuál es el motivo principal de su visita de hoy?</t>
  </si>
  <si>
    <t>Trabajo o estudio | Reunión social | Probar café de especialidad | Pausa rápida o rutina | Otro</t>
  </si>
  <si>
    <t>Segmentación por motivo de consumo</t>
  </si>
  <si>
    <t>¿Cómo conoció este café?</t>
  </si>
  <si>
    <t>Redes sociales | Recomendación | Pasó por el lugar | Google Maps u otra app | Otro</t>
  </si>
  <si>
    <t>Experiencia física vs. presencia digital</t>
  </si>
  <si>
    <t>¿Cuánto tiempo planea quedarse hoy? (minutos aproximados)</t>
  </si>
  <si>
    <t>Descriptivo de uso del espacio</t>
  </si>
  <si>
    <t>B. Qué importa al elegir una cafetería de especialidad (1–5)</t>
  </si>
  <si>
    <t>Importancia: calidad del café (1 = nada importante … 5 = muy importante)</t>
  </si>
  <si>
    <t>Demanda: jerarquía de factores</t>
  </si>
  <si>
    <t>Importancia: ambiente y decoración</t>
  </si>
  <si>
    <t>Importancia: que le cuenten el origen y la historia del café</t>
  </si>
  <si>
    <t>Demanda: valoración del storytelling</t>
  </si>
  <si>
    <t>Importancia: la atención del personal</t>
  </si>
  <si>
    <t>Importancia: el precio</t>
  </si>
  <si>
    <t>Importancia: la ubicación o cercanía</t>
  </si>
  <si>
    <t>Importancia: la presencia en redes sociales</t>
  </si>
  <si>
    <t>De esos siete factores, ¿cuál es el MÁS importante para usted?</t>
  </si>
  <si>
    <t>Calidad del café | Ambiente | Historia y origen | Atención | Precio | Ubicación | Redes sociales</t>
  </si>
  <si>
    <t>Demanda: factor decisivo</t>
  </si>
  <si>
    <t>C. Su percepción de ESTE café (1–5)</t>
  </si>
  <si>
    <t>El ambiente de este café es agradable (1 = totalmente en desacuerdo … 5 = totalmente de acuerdo)</t>
  </si>
  <si>
    <t>Percepción de ambientación (compara con idx_amb)</t>
  </si>
  <si>
    <t>Este café se siente distinto a otras cafeterías de especialidad</t>
  </si>
  <si>
    <t>Posicionamiento (diferenciación percibida)</t>
  </si>
  <si>
    <t>En este café me han explicado o he podido conocer el origen del café</t>
  </si>
  <si>
    <t>Percepción de storytelling (compara con idx_story)</t>
  </si>
  <si>
    <t>La historia de este café me resulta interesante o me conecta con él</t>
  </si>
  <si>
    <t>Percepción de storytelling</t>
  </si>
  <si>
    <t>La calidad del café aquí es alta</t>
  </si>
  <si>
    <t>Control de calidad percibida</t>
  </si>
  <si>
    <t>La atención aquí es rápida y amable</t>
  </si>
  <si>
    <t>Control de servicio percibido</t>
  </si>
  <si>
    <t>¿Puede decir de dónde viene el café que toma o algún dato de la historia de este café? (1 = menciona al menos un dato concreto)</t>
  </si>
  <si>
    <t>Posicionamiento (recordación)</t>
  </si>
  <si>
    <t>Lo que mencionó (transcripción breve; vacío si no recuerda)</t>
  </si>
  <si>
    <t>Verificar recuerda_dato</t>
  </si>
  <si>
    <t>En una frase: ¿qué hace diferente a este café de otras cafeterías de especialidad?</t>
  </si>
  <si>
    <t>Posicionamiento espontáneo (se codifica después)</t>
  </si>
  <si>
    <t>Categoría de la respuesta anterior (se llena en la limpieza, NO en campo)</t>
  </si>
  <si>
    <t>Calidad del café | Ambiente | Historia y origen | Atención | Precio | Ubicación | Otro | Nada / no sabe</t>
  </si>
  <si>
    <t>Posicionamiento: atributo con que se asocia el café</t>
  </si>
  <si>
    <t>D. Preferencia y disposición a pagar</t>
  </si>
  <si>
    <t>Del 0 al 10, ¿qué tan probable es que recomiende este café a un amigo?</t>
  </si>
  <si>
    <t>escala 0–10</t>
  </si>
  <si>
    <t>0 a 10</t>
  </si>
  <si>
    <t>Preferencia (recomendación)</t>
  </si>
  <si>
    <t>¿Qué tan probable es que vuelva en los próximos 30 días? (1 = nada probable … 5 = muy probable)</t>
  </si>
  <si>
    <t>Preferencia (lealtad declarada)</t>
  </si>
  <si>
    <t>Además de este, ¿a cuántas otras cafeterías de especialidad fue el último mes?</t>
  </si>
  <si>
    <t>Ninguno | 1–2 | 3–5 | 6 o más</t>
  </si>
  <si>
    <t>Intensidad de competencia / alternativas</t>
  </si>
  <si>
    <t>Frente a otras cafeterías de especialidad de la zona, este café es…</t>
  </si>
  <si>
    <t>Es mi primera opción | Una de varias opciones | Vine por esta vez</t>
  </si>
  <si>
    <t>Preferencia revelada</t>
  </si>
  <si>
    <t>¿Cuánto gastó o gastará hoy aquí en total? (COP, aprox.)</t>
  </si>
  <si>
    <t>Gasto observado; demanda</t>
  </si>
  <si>
    <t>¿Cuál es el precio MÁXIMO que pagaría por un capuchino aquí antes de buscar otro café? (COP)</t>
  </si>
  <si>
    <t>Disposición a pagar; prima = dap_max_capuchino − precio_capuchino_cop</t>
  </si>
  <si>
    <t>Por la misma bebida, ¿pagaría en este café…</t>
  </si>
  <si>
    <t>Más que en otras | Igual | Menos que en otras</t>
  </si>
  <si>
    <t>Prima percibida frente a la competencia</t>
  </si>
  <si>
    <t>E. Datos mínimos de segmentación</t>
  </si>
  <si>
    <t>Rango de edad (para describir la demanda por grupos)</t>
  </si>
  <si>
    <t>18–24 | 25–34 | 35–44 | 45–54 | 55 o más</t>
  </si>
  <si>
    <t>Segmentación del mercado (ver justificación en el cuestionario)</t>
  </si>
  <si>
    <t>Ocupación principal</t>
  </si>
  <si>
    <t>Estudiante | Empleado/a | Independiente | Otra</t>
  </si>
  <si>
    <t>Segmentación del mercado</t>
  </si>
  <si>
    <t>Relación con la zona del café</t>
  </si>
  <si>
    <t>Vive cerca | Trabaja o estudia cerca | Viene de otra zona | Turista</t>
  </si>
  <si>
    <t>Localización: demanda local vs. de destino</t>
  </si>
  <si>
    <t>Cierre</t>
  </si>
  <si>
    <t>Observaciones del encuestador (dudas, interrupciones, contexto)</t>
  </si>
  <si>
    <t>Control de calidad / informe de campo</t>
  </si>
  <si>
    <t>persona</t>
  </si>
  <si>
    <t>factor</t>
  </si>
  <si>
    <t>Primera vez</t>
  </si>
  <si>
    <t>Trabajo o estudio</t>
  </si>
  <si>
    <t>Ninguno</t>
  </si>
  <si>
    <t>Es mi primera opción</t>
  </si>
  <si>
    <t>Más que en otras</t>
  </si>
  <si>
    <t>18–24</t>
  </si>
  <si>
    <t>Estudiante</t>
  </si>
  <si>
    <t>Vive cerca</t>
  </si>
  <si>
    <t>Usaquén</t>
  </si>
  <si>
    <t>Pequeña cadena (2–5 locales)</t>
  </si>
  <si>
    <t>Menos de 1 vez al mes</t>
  </si>
  <si>
    <t>Recomendación</t>
  </si>
  <si>
    <t>Ambiente</t>
  </si>
  <si>
    <t>Teusaquillo</t>
  </si>
  <si>
    <t>Cadena grande (6+ locales)</t>
  </si>
  <si>
    <t>Probar café de especialidad</t>
  </si>
  <si>
    <t>Pasó por el lugar</t>
  </si>
  <si>
    <t>Historia y origen</t>
  </si>
  <si>
    <t>3–5</t>
  </si>
  <si>
    <t>Vine por esta vez</t>
  </si>
  <si>
    <t>Menos que en otras</t>
  </si>
  <si>
    <t>35–44</t>
  </si>
  <si>
    <t>Independiente</t>
  </si>
  <si>
    <t>Viene de otra zona</t>
  </si>
  <si>
    <t>Barrios Unidos</t>
  </si>
  <si>
    <t>Tostadora con cafetería</t>
  </si>
  <si>
    <t>Semanal o más</t>
  </si>
  <si>
    <t>Pausa rápida o rutina</t>
  </si>
  <si>
    <t>Google Maps u otra app</t>
  </si>
  <si>
    <t>Atención</t>
  </si>
  <si>
    <t>6 o más</t>
  </si>
  <si>
    <t>45–54</t>
  </si>
  <si>
    <t>Otra</t>
  </si>
  <si>
    <t>Turista</t>
  </si>
  <si>
    <t>Santa Fe</t>
  </si>
  <si>
    <t>Otro</t>
  </si>
  <si>
    <t>Precio</t>
  </si>
  <si>
    <t>55 o más</t>
  </si>
  <si>
    <t>La Candelaria</t>
  </si>
  <si>
    <t>Ubicación</t>
  </si>
  <si>
    <t>Suba</t>
  </si>
  <si>
    <t>Nada / no sabe</t>
  </si>
  <si>
    <t>CAFFA COLOMBIA</t>
  </si>
  <si>
    <t>Carrera 7 #113-43 Local 103 Torre Samsung</t>
  </si>
  <si>
    <t>Z1 Usaquen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</si>
</sst>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E342E"/>
        <bgColor rgb="FF333300"/>
      </patternFill>
    </fill>
    <fill>
      <patternFill patternType="solid">
        <fgColor rgb="FF8D6E63"/>
        <bgColor rgb="FF7F7F7F"/>
      </patternFill>
    </fill>
    <fill>
      <patternFill patternType="solid">
        <fgColor rgb="FFFFF9C4"/>
        <bgColor rgb="FFFFFF99"/>
      </patternFill>
    </fill>
    <fill>
      <patternFill patternType="solid">
        <fgColor rgb="FFE0E0E0"/>
        <bgColor rgb="FFCCFFCC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2" fillId="0" borderId="0" xfId="0" applyFont="1"/>
    <xf numFmtId="0" fontId="6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/>
    <xf numFmtId="164" fontId="5" fillId="4" borderId="0" xfId="0" applyNumberFormat="1" applyFont="1" applyFill="1"/>
    <xf numFmtId="165" fontId="5" fillId="5" borderId="0" xfId="0" applyNumberFormat="1" applyFont="1" applyFill="1"/>
    <xf numFmtId="164" fontId="2" fillId="0" borderId="0" xfId="0" applyNumberFormat="1" applyFont="1"/>
    <xf numFmtId="165" fontId="2" fillId="5" borderId="0" xfId="0" applyNumberFormat="1" applyFont="1" applyFill="1"/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5" borderId="0" xfId="0" applyFont="1" applyFill="1"/>
    <xf numFmtId="166" fontId="2" fillId="0" borderId="0" xfId="0" applyNumberFormat="1" applyFont="1"/>
    <xf numFmtId="164" fontId="0" fillId="0" borderId="0" xfId="0" applyNumberFormat="1"/>
    <xf numFmtId="9" fontId="2" fillId="0" borderId="0" xfId="0" applyNumberFormat="1" applyFont="1"/>
    <xf numFmtId="9" fontId="3" fillId="0" borderId="0" xfId="0" applyNumberFormat="1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F7F7F"/>
      <rgbColor rgb="FF9999FF"/>
      <rgbColor rgb="FF993366"/>
      <rgbColor rgb="FFFFF9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D6E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3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zoomScaleNormal="100" workbookViewId="0"/>
  </sheetViews>
  <sheetFormatPr baseColWidth="10" defaultColWidth="8.7109375" defaultRowHeight="15" x14ac:dyDescent="0.25"/>
  <cols>
    <col min="1" max="1" width="120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2" t="s">
        <v>3</v>
      </c>
    </row>
    <row r="6" spans="1:1" ht="25.5" x14ac:dyDescent="0.25">
      <c r="A6" s="2" t="s">
        <v>4</v>
      </c>
    </row>
    <row r="7" spans="1:1" ht="25.5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ht="25.5" x14ac:dyDescent="0.25">
      <c r="A10" s="2" t="s">
        <v>8</v>
      </c>
    </row>
    <row r="11" spans="1:1" ht="25.5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/>
    </row>
    <row r="14" spans="1:1" x14ac:dyDescent="0.25">
      <c r="A14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baseColWidth="10" defaultColWidth="8.7109375" defaultRowHeight="15" x14ac:dyDescent="0.25"/>
  <cols>
    <col min="1" max="1" width="15" customWidth="1"/>
    <col min="2" max="2" width="24" customWidth="1"/>
    <col min="3" max="3" width="43.28515625" customWidth="1"/>
    <col min="4" max="5" width="24" customWidth="1"/>
    <col min="6" max="11" width="15" customWidth="1"/>
  </cols>
  <sheetData>
    <row r="1" spans="1:11" ht="26.25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25">
      <c r="A2" s="5" t="s">
        <v>23</v>
      </c>
      <c r="B2" s="5" t="s">
        <v>418</v>
      </c>
      <c r="C2" s="5" t="s">
        <v>417</v>
      </c>
      <c r="D2" s="5" t="s">
        <v>416</v>
      </c>
      <c r="E2" s="5" t="s">
        <v>383</v>
      </c>
      <c r="F2" s="5" t="s">
        <v>25</v>
      </c>
      <c r="G2" s="5" t="s">
        <v>26</v>
      </c>
      <c r="H2" s="5" t="s">
        <v>27</v>
      </c>
      <c r="I2" s="5"/>
      <c r="J2" s="5">
        <v>10</v>
      </c>
      <c r="K2" s="5" t="s">
        <v>28</v>
      </c>
    </row>
    <row r="3" spans="1:11" x14ac:dyDescent="0.25">
      <c r="A3" s="5" t="s">
        <v>29</v>
      </c>
      <c r="B3" s="5" t="s">
        <v>24</v>
      </c>
      <c r="C3" s="5"/>
      <c r="D3" s="5"/>
      <c r="E3" s="5"/>
      <c r="F3" s="5" t="s">
        <v>30</v>
      </c>
      <c r="G3" s="5" t="s">
        <v>26</v>
      </c>
      <c r="H3" s="5" t="s">
        <v>31</v>
      </c>
      <c r="I3" s="5"/>
      <c r="J3" s="5">
        <v>10</v>
      </c>
      <c r="K3" s="5" t="s">
        <v>28</v>
      </c>
    </row>
    <row r="4" spans="1:11" x14ac:dyDescent="0.25">
      <c r="A4" s="5" t="s">
        <v>32</v>
      </c>
      <c r="B4" s="5" t="s">
        <v>24</v>
      </c>
      <c r="C4" s="5"/>
      <c r="D4" s="5"/>
      <c r="E4" s="5"/>
      <c r="F4" s="5" t="s">
        <v>33</v>
      </c>
      <c r="G4" s="5" t="s">
        <v>34</v>
      </c>
      <c r="H4" s="5" t="s">
        <v>27</v>
      </c>
      <c r="I4" s="5"/>
      <c r="J4" s="5">
        <v>10</v>
      </c>
      <c r="K4" s="5" t="s">
        <v>28</v>
      </c>
    </row>
    <row r="5" spans="1:11" x14ac:dyDescent="0.25">
      <c r="A5" s="5" t="s">
        <v>35</v>
      </c>
      <c r="B5" s="5" t="s">
        <v>36</v>
      </c>
      <c r="C5" s="5"/>
      <c r="D5" s="5"/>
      <c r="E5" s="5"/>
      <c r="F5" s="5" t="s">
        <v>25</v>
      </c>
      <c r="G5" s="5" t="s">
        <v>26</v>
      </c>
      <c r="H5" s="5" t="s">
        <v>31</v>
      </c>
      <c r="I5" s="5"/>
      <c r="J5" s="5">
        <v>10</v>
      </c>
      <c r="K5" s="5" t="s">
        <v>28</v>
      </c>
    </row>
    <row r="6" spans="1:11" x14ac:dyDescent="0.25">
      <c r="A6" s="5" t="s">
        <v>37</v>
      </c>
      <c r="B6" s="5" t="s">
        <v>36</v>
      </c>
      <c r="C6" s="5"/>
      <c r="D6" s="5"/>
      <c r="E6" s="5"/>
      <c r="F6" s="5" t="s">
        <v>30</v>
      </c>
      <c r="G6" s="5" t="s">
        <v>34</v>
      </c>
      <c r="H6" s="5" t="s">
        <v>27</v>
      </c>
      <c r="I6" s="5"/>
      <c r="J6" s="5">
        <v>10</v>
      </c>
      <c r="K6" s="5" t="s">
        <v>28</v>
      </c>
    </row>
    <row r="7" spans="1:11" x14ac:dyDescent="0.25">
      <c r="A7" s="5" t="s">
        <v>38</v>
      </c>
      <c r="B7" s="5" t="s">
        <v>36</v>
      </c>
      <c r="C7" s="5"/>
      <c r="D7" s="5"/>
      <c r="E7" s="5"/>
      <c r="F7" s="5" t="s">
        <v>33</v>
      </c>
      <c r="G7" s="5" t="s">
        <v>34</v>
      </c>
      <c r="H7" s="5" t="s">
        <v>31</v>
      </c>
      <c r="I7" s="5"/>
      <c r="J7" s="5">
        <v>10</v>
      </c>
      <c r="K7" s="5" t="s">
        <v>28</v>
      </c>
    </row>
    <row r="8" spans="1:11" x14ac:dyDescent="0.25">
      <c r="A8" s="5" t="s">
        <v>39</v>
      </c>
      <c r="B8" s="5" t="s">
        <v>40</v>
      </c>
      <c r="C8" s="5"/>
      <c r="D8" s="5"/>
      <c r="E8" s="5"/>
      <c r="F8" s="5" t="s">
        <v>25</v>
      </c>
      <c r="G8" s="5" t="s">
        <v>34</v>
      </c>
      <c r="H8" s="5" t="s">
        <v>27</v>
      </c>
      <c r="I8" s="5"/>
      <c r="J8" s="5">
        <v>10</v>
      </c>
      <c r="K8" s="5" t="s">
        <v>28</v>
      </c>
    </row>
    <row r="9" spans="1:11" x14ac:dyDescent="0.25">
      <c r="A9" s="5" t="s">
        <v>41</v>
      </c>
      <c r="B9" s="5" t="s">
        <v>40</v>
      </c>
      <c r="C9" s="5"/>
      <c r="D9" s="5"/>
      <c r="E9" s="5"/>
      <c r="F9" s="5" t="s">
        <v>30</v>
      </c>
      <c r="G9" s="5" t="s">
        <v>34</v>
      </c>
      <c r="H9" s="5" t="s">
        <v>31</v>
      </c>
      <c r="I9" s="5"/>
      <c r="J9" s="5">
        <v>10</v>
      </c>
      <c r="K9" s="5" t="s">
        <v>28</v>
      </c>
    </row>
    <row r="11" spans="1:11" x14ac:dyDescent="0.25">
      <c r="A11" s="6" t="s">
        <v>44</v>
      </c>
    </row>
  </sheetData>
  <dataValidations count="1">
    <dataValidation type="list" allowBlank="1" sqref="K2:K9" xr:uid="{00000000-0002-0000-0100-000000000000}">
      <formula1>"Pendiente,Visitado,Reemplazado,Piloto"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Listas!$C$2:$C$5</xm:f>
          </x14:formula1>
          <x14:formula2>
            <xm:f>0</xm:f>
          </x14:formula2>
          <xm:sqref>E2:E9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3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2" width="12" customWidth="1"/>
    <col min="3" max="3" width="15" customWidth="1"/>
    <col min="4" max="4" width="13" customWidth="1"/>
    <col min="5" max="5" width="17" customWidth="1"/>
    <col min="6" max="6" width="16" customWidth="1"/>
    <col min="7" max="9" width="12" customWidth="1"/>
    <col min="10" max="10" width="14" customWidth="1"/>
    <col min="11" max="11" width="22" customWidth="1"/>
    <col min="12" max="27" width="12" customWidth="1"/>
    <col min="28" max="28" width="13" customWidth="1"/>
    <col min="29" max="29" width="12" customWidth="1"/>
    <col min="30" max="30" width="16" customWidth="1"/>
    <col min="31" max="31" width="14" customWidth="1"/>
    <col min="32" max="32" width="13" customWidth="1"/>
    <col min="33" max="33" width="17" customWidth="1"/>
    <col min="34" max="34" width="14" customWidth="1"/>
    <col min="35" max="35" width="20" customWidth="1"/>
    <col min="36" max="36" width="22" customWidth="1"/>
    <col min="37" max="37" width="20" customWidth="1"/>
    <col min="38" max="38" width="22" customWidth="1"/>
    <col min="39" max="39" width="19" customWidth="1"/>
    <col min="40" max="42" width="17" customWidth="1"/>
    <col min="43" max="43" width="18" customWidth="1"/>
    <col min="44" max="44" width="12" customWidth="1"/>
    <col min="45" max="45" width="13" customWidth="1"/>
  </cols>
  <sheetData>
    <row r="1" spans="1:45" ht="33.75" customHeight="1" x14ac:dyDescent="0.25">
      <c r="A1" s="7" t="s">
        <v>12</v>
      </c>
      <c r="B1" s="7" t="s">
        <v>14</v>
      </c>
      <c r="C1" s="7" t="s">
        <v>15</v>
      </c>
      <c r="D1" s="7" t="s">
        <v>45</v>
      </c>
      <c r="E1" s="7" t="s">
        <v>13</v>
      </c>
      <c r="F1" s="7" t="s">
        <v>16</v>
      </c>
      <c r="G1" s="7" t="s">
        <v>46</v>
      </c>
      <c r="H1" s="7" t="s">
        <v>18</v>
      </c>
      <c r="I1" s="7" t="s">
        <v>19</v>
      </c>
      <c r="J1" s="7" t="s">
        <v>47</v>
      </c>
      <c r="K1" s="7" t="s">
        <v>48</v>
      </c>
      <c r="L1" s="8" t="s">
        <v>49</v>
      </c>
      <c r="M1" s="8" t="s">
        <v>50</v>
      </c>
      <c r="N1" s="8" t="s">
        <v>51</v>
      </c>
      <c r="O1" s="8" t="s">
        <v>52</v>
      </c>
      <c r="P1" s="8" t="s">
        <v>53</v>
      </c>
      <c r="Q1" s="8" t="s">
        <v>54</v>
      </c>
      <c r="R1" s="8" t="s">
        <v>55</v>
      </c>
      <c r="S1" s="8" t="s">
        <v>56</v>
      </c>
      <c r="T1" s="7" t="s">
        <v>57</v>
      </c>
      <c r="U1" s="7" t="s">
        <v>58</v>
      </c>
      <c r="V1" s="7" t="s">
        <v>59</v>
      </c>
      <c r="W1" s="7" t="s">
        <v>60</v>
      </c>
      <c r="X1" s="7" t="s">
        <v>61</v>
      </c>
      <c r="Y1" s="7" t="s">
        <v>62</v>
      </c>
      <c r="Z1" s="7" t="s">
        <v>63</v>
      </c>
      <c r="AA1" s="7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7" t="s">
        <v>69</v>
      </c>
      <c r="AG1" s="7" t="s">
        <v>70</v>
      </c>
      <c r="AH1" s="7" t="s">
        <v>71</v>
      </c>
      <c r="AI1" s="7" t="s">
        <v>72</v>
      </c>
      <c r="AJ1" s="7" t="s">
        <v>73</v>
      </c>
      <c r="AK1" s="7" t="s">
        <v>74</v>
      </c>
      <c r="AL1" s="7" t="s">
        <v>75</v>
      </c>
      <c r="AM1" s="8" t="s">
        <v>76</v>
      </c>
      <c r="AN1" s="8" t="s">
        <v>77</v>
      </c>
      <c r="AO1" s="8" t="s">
        <v>78</v>
      </c>
      <c r="AP1" s="8" t="s">
        <v>79</v>
      </c>
      <c r="AQ1" s="8" t="s">
        <v>80</v>
      </c>
      <c r="AR1" s="7" t="s">
        <v>81</v>
      </c>
      <c r="AS1" s="7" t="s">
        <v>82</v>
      </c>
    </row>
    <row r="2" spans="1:45" x14ac:dyDescent="0.25">
      <c r="A2" s="9" t="s">
        <v>83</v>
      </c>
      <c r="B2" s="9" t="s">
        <v>84</v>
      </c>
      <c r="C2" s="9" t="s">
        <v>85</v>
      </c>
      <c r="D2" s="9" t="s">
        <v>86</v>
      </c>
      <c r="E2" s="9" t="s">
        <v>24</v>
      </c>
      <c r="F2" s="9" t="s">
        <v>87</v>
      </c>
      <c r="G2" s="10">
        <v>46340</v>
      </c>
      <c r="H2" s="9" t="s">
        <v>34</v>
      </c>
      <c r="I2" s="9" t="s">
        <v>27</v>
      </c>
      <c r="J2" s="9" t="s">
        <v>25</v>
      </c>
      <c r="K2" s="9">
        <v>1</v>
      </c>
      <c r="L2" s="9">
        <v>1</v>
      </c>
      <c r="M2" s="9">
        <v>1</v>
      </c>
      <c r="N2" s="9">
        <v>0</v>
      </c>
      <c r="O2" s="9">
        <v>1</v>
      </c>
      <c r="P2" s="9">
        <v>0</v>
      </c>
      <c r="Q2" s="9">
        <v>1</v>
      </c>
      <c r="R2" s="9">
        <v>1</v>
      </c>
      <c r="S2" s="9">
        <v>0</v>
      </c>
      <c r="T2" s="9">
        <v>1</v>
      </c>
      <c r="U2" s="9">
        <v>1</v>
      </c>
      <c r="V2" s="9">
        <v>1</v>
      </c>
      <c r="W2" s="9">
        <v>1</v>
      </c>
      <c r="X2" s="9">
        <v>0</v>
      </c>
      <c r="Y2" s="9">
        <v>1</v>
      </c>
      <c r="Z2" s="9">
        <v>1</v>
      </c>
      <c r="AA2" s="9">
        <v>0</v>
      </c>
      <c r="AB2" s="11">
        <f>SUM(L2:S2)</f>
        <v>5</v>
      </c>
      <c r="AC2" s="11">
        <f>SUM(T2:AA2)</f>
        <v>6</v>
      </c>
      <c r="AD2" s="11">
        <f>AB2/8*10</f>
        <v>6.25</v>
      </c>
      <c r="AE2" s="11">
        <f>AC2/8*10</f>
        <v>7.5</v>
      </c>
      <c r="AF2" s="9">
        <v>2</v>
      </c>
      <c r="AG2" s="9">
        <v>60</v>
      </c>
      <c r="AH2" s="9">
        <v>6</v>
      </c>
      <c r="AI2" s="9">
        <v>4</v>
      </c>
      <c r="AJ2" s="9">
        <v>9500</v>
      </c>
      <c r="AK2" s="9">
        <v>1</v>
      </c>
      <c r="AL2" s="9">
        <v>11000</v>
      </c>
      <c r="AM2" s="9">
        <v>1</v>
      </c>
      <c r="AN2" s="9">
        <v>4200</v>
      </c>
      <c r="AO2" s="9">
        <v>3</v>
      </c>
      <c r="AP2" s="9">
        <v>4.5999999999999996</v>
      </c>
      <c r="AQ2" s="9">
        <v>310</v>
      </c>
      <c r="AR2" s="9">
        <v>1</v>
      </c>
      <c r="AS2" s="9" t="s">
        <v>88</v>
      </c>
    </row>
    <row r="3" spans="1:45" x14ac:dyDescent="0.25">
      <c r="A3" s="5"/>
      <c r="B3" s="5"/>
      <c r="C3" s="5"/>
      <c r="D3" s="5"/>
      <c r="E3" s="5"/>
      <c r="F3" s="5"/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3" t="str">
        <f t="shared" ref="AB3:AB30" si="0">IF(COUNTA(L3:S3)=0,"",SUM(L3:S3))</f>
        <v/>
      </c>
      <c r="AC3" s="13" t="str">
        <f t="shared" ref="AC3:AC30" si="1">IF(COUNTA(T3:AA3)=0,"",SUM(T3:AA3))</f>
        <v/>
      </c>
      <c r="AD3" s="13" t="str">
        <f t="shared" ref="AD3:AD30" si="2">IF(AB3="","",AB3/8*10)</f>
        <v/>
      </c>
      <c r="AE3" s="13" t="str">
        <f t="shared" ref="AE3:AE30" si="3">IF(AC3="","",AC3/8*10)</f>
        <v/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x14ac:dyDescent="0.25">
      <c r="A4" s="5"/>
      <c r="B4" s="5"/>
      <c r="C4" s="5"/>
      <c r="D4" s="5"/>
      <c r="E4" s="5"/>
      <c r="F4" s="5"/>
      <c r="G4" s="1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13" t="str">
        <f t="shared" si="0"/>
        <v/>
      </c>
      <c r="AC4" s="13" t="str">
        <f t="shared" si="1"/>
        <v/>
      </c>
      <c r="AD4" s="13" t="str">
        <f t="shared" si="2"/>
        <v/>
      </c>
      <c r="AE4" s="13" t="str">
        <f t="shared" si="3"/>
        <v/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x14ac:dyDescent="0.25">
      <c r="A5" s="5"/>
      <c r="B5" s="5"/>
      <c r="C5" s="5"/>
      <c r="D5" s="5"/>
      <c r="E5" s="5"/>
      <c r="F5" s="5"/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3" t="str">
        <f t="shared" si="0"/>
        <v/>
      </c>
      <c r="AC5" s="13" t="str">
        <f t="shared" si="1"/>
        <v/>
      </c>
      <c r="AD5" s="13" t="str">
        <f t="shared" si="2"/>
        <v/>
      </c>
      <c r="AE5" s="13" t="str">
        <f t="shared" si="3"/>
        <v/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x14ac:dyDescent="0.25">
      <c r="A6" s="5"/>
      <c r="B6" s="5"/>
      <c r="C6" s="5"/>
      <c r="D6" s="5"/>
      <c r="E6" s="5"/>
      <c r="F6" s="5"/>
      <c r="G6" s="1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3" t="str">
        <f t="shared" si="0"/>
        <v/>
      </c>
      <c r="AC6" s="13" t="str">
        <f t="shared" si="1"/>
        <v/>
      </c>
      <c r="AD6" s="13" t="str">
        <f t="shared" si="2"/>
        <v/>
      </c>
      <c r="AE6" s="13" t="str">
        <f t="shared" si="3"/>
        <v/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x14ac:dyDescent="0.25">
      <c r="A7" s="5"/>
      <c r="B7" s="5"/>
      <c r="C7" s="5"/>
      <c r="D7" s="5"/>
      <c r="E7" s="5"/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3" t="str">
        <f t="shared" si="0"/>
        <v/>
      </c>
      <c r="AC7" s="13" t="str">
        <f t="shared" si="1"/>
        <v/>
      </c>
      <c r="AD7" s="13" t="str">
        <f t="shared" si="2"/>
        <v/>
      </c>
      <c r="AE7" s="13" t="str">
        <f t="shared" si="3"/>
        <v/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x14ac:dyDescent="0.25">
      <c r="A8" s="5"/>
      <c r="B8" s="5"/>
      <c r="C8" s="5"/>
      <c r="D8" s="5"/>
      <c r="E8" s="5"/>
      <c r="F8" s="5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3" t="str">
        <f t="shared" si="0"/>
        <v/>
      </c>
      <c r="AC8" s="13" t="str">
        <f t="shared" si="1"/>
        <v/>
      </c>
      <c r="AD8" s="13" t="str">
        <f t="shared" si="2"/>
        <v/>
      </c>
      <c r="AE8" s="13" t="str">
        <f t="shared" si="3"/>
        <v/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1:45" x14ac:dyDescent="0.25">
      <c r="A9" s="5"/>
      <c r="B9" s="5"/>
      <c r="C9" s="5"/>
      <c r="D9" s="5"/>
      <c r="E9" s="5"/>
      <c r="F9" s="5"/>
      <c r="G9" s="1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13" t="str">
        <f t="shared" si="0"/>
        <v/>
      </c>
      <c r="AC9" s="13" t="str">
        <f t="shared" si="1"/>
        <v/>
      </c>
      <c r="AD9" s="13" t="str">
        <f t="shared" si="2"/>
        <v/>
      </c>
      <c r="AE9" s="13" t="str">
        <f t="shared" si="3"/>
        <v/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 x14ac:dyDescent="0.25">
      <c r="A10" s="5"/>
      <c r="B10" s="5"/>
      <c r="C10" s="5"/>
      <c r="D10" s="5"/>
      <c r="E10" s="5"/>
      <c r="F10" s="5"/>
      <c r="G10" s="1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3" t="str">
        <f t="shared" si="0"/>
        <v/>
      </c>
      <c r="AC10" s="13" t="str">
        <f t="shared" si="1"/>
        <v/>
      </c>
      <c r="AD10" s="13" t="str">
        <f t="shared" si="2"/>
        <v/>
      </c>
      <c r="AE10" s="13" t="str">
        <f t="shared" si="3"/>
        <v/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x14ac:dyDescent="0.25">
      <c r="A11" s="5"/>
      <c r="B11" s="5"/>
      <c r="C11" s="5"/>
      <c r="D11" s="5"/>
      <c r="E11" s="5"/>
      <c r="F11" s="5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3" t="str">
        <f t="shared" si="0"/>
        <v/>
      </c>
      <c r="AC11" s="13" t="str">
        <f t="shared" si="1"/>
        <v/>
      </c>
      <c r="AD11" s="13" t="str">
        <f t="shared" si="2"/>
        <v/>
      </c>
      <c r="AE11" s="13" t="str">
        <f t="shared" si="3"/>
        <v/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x14ac:dyDescent="0.25">
      <c r="A12" s="5"/>
      <c r="B12" s="5"/>
      <c r="C12" s="5"/>
      <c r="D12" s="5"/>
      <c r="E12" s="5"/>
      <c r="F12" s="5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3" t="str">
        <f t="shared" si="0"/>
        <v/>
      </c>
      <c r="AC12" s="13" t="str">
        <f t="shared" si="1"/>
        <v/>
      </c>
      <c r="AD12" s="13" t="str">
        <f t="shared" si="2"/>
        <v/>
      </c>
      <c r="AE12" s="13" t="str">
        <f t="shared" si="3"/>
        <v/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x14ac:dyDescent="0.25">
      <c r="A13" s="5"/>
      <c r="B13" s="5"/>
      <c r="C13" s="5"/>
      <c r="D13" s="5"/>
      <c r="E13" s="5"/>
      <c r="F13" s="5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3" t="str">
        <f t="shared" si="0"/>
        <v/>
      </c>
      <c r="AC13" s="13" t="str">
        <f t="shared" si="1"/>
        <v/>
      </c>
      <c r="AD13" s="13" t="str">
        <f t="shared" si="2"/>
        <v/>
      </c>
      <c r="AE13" s="13" t="str">
        <f t="shared" si="3"/>
        <v/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x14ac:dyDescent="0.25">
      <c r="A14" s="5"/>
      <c r="B14" s="5"/>
      <c r="C14" s="5"/>
      <c r="D14" s="5"/>
      <c r="E14" s="5"/>
      <c r="F14" s="5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3" t="str">
        <f t="shared" si="0"/>
        <v/>
      </c>
      <c r="AC14" s="13" t="str">
        <f t="shared" si="1"/>
        <v/>
      </c>
      <c r="AD14" s="13" t="str">
        <f t="shared" si="2"/>
        <v/>
      </c>
      <c r="AE14" s="13" t="str">
        <f t="shared" si="3"/>
        <v/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x14ac:dyDescent="0.25">
      <c r="A15" s="5"/>
      <c r="B15" s="5"/>
      <c r="C15" s="5"/>
      <c r="D15" s="5"/>
      <c r="E15" s="5"/>
      <c r="F15" s="5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13" t="str">
        <f t="shared" si="0"/>
        <v/>
      </c>
      <c r="AC15" s="13" t="str">
        <f t="shared" si="1"/>
        <v/>
      </c>
      <c r="AD15" s="13" t="str">
        <f t="shared" si="2"/>
        <v/>
      </c>
      <c r="AE15" s="13" t="str">
        <f t="shared" si="3"/>
        <v/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x14ac:dyDescent="0.25">
      <c r="A16" s="5"/>
      <c r="B16" s="5"/>
      <c r="C16" s="5"/>
      <c r="D16" s="5"/>
      <c r="E16" s="5"/>
      <c r="F16" s="5"/>
      <c r="G16" s="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13" t="str">
        <f t="shared" si="0"/>
        <v/>
      </c>
      <c r="AC16" s="13" t="str">
        <f t="shared" si="1"/>
        <v/>
      </c>
      <c r="AD16" s="13" t="str">
        <f t="shared" si="2"/>
        <v/>
      </c>
      <c r="AE16" s="13" t="str">
        <f t="shared" si="3"/>
        <v/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x14ac:dyDescent="0.25">
      <c r="A17" s="5"/>
      <c r="B17" s="5"/>
      <c r="C17" s="5"/>
      <c r="D17" s="5"/>
      <c r="E17" s="5"/>
      <c r="F17" s="5"/>
      <c r="G17" s="1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13" t="str">
        <f t="shared" si="0"/>
        <v/>
      </c>
      <c r="AC17" s="13" t="str">
        <f t="shared" si="1"/>
        <v/>
      </c>
      <c r="AD17" s="13" t="str">
        <f t="shared" si="2"/>
        <v/>
      </c>
      <c r="AE17" s="13" t="str">
        <f t="shared" si="3"/>
        <v/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x14ac:dyDescent="0.25">
      <c r="A18" s="5"/>
      <c r="B18" s="5"/>
      <c r="C18" s="5"/>
      <c r="D18" s="5"/>
      <c r="E18" s="5"/>
      <c r="F18" s="5"/>
      <c r="G18" s="1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13" t="str">
        <f t="shared" si="0"/>
        <v/>
      </c>
      <c r="AC18" s="13" t="str">
        <f t="shared" si="1"/>
        <v/>
      </c>
      <c r="AD18" s="13" t="str">
        <f t="shared" si="2"/>
        <v/>
      </c>
      <c r="AE18" s="13" t="str">
        <f t="shared" si="3"/>
        <v/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x14ac:dyDescent="0.25">
      <c r="A19" s="5"/>
      <c r="B19" s="5"/>
      <c r="C19" s="5"/>
      <c r="D19" s="5"/>
      <c r="E19" s="5"/>
      <c r="F19" s="5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3" t="str">
        <f t="shared" si="0"/>
        <v/>
      </c>
      <c r="AC19" s="13" t="str">
        <f t="shared" si="1"/>
        <v/>
      </c>
      <c r="AD19" s="13" t="str">
        <f t="shared" si="2"/>
        <v/>
      </c>
      <c r="AE19" s="13" t="str">
        <f t="shared" si="3"/>
        <v/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x14ac:dyDescent="0.25">
      <c r="A20" s="5"/>
      <c r="B20" s="5"/>
      <c r="C20" s="5"/>
      <c r="D20" s="5"/>
      <c r="E20" s="5"/>
      <c r="F20" s="5"/>
      <c r="G20" s="1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13" t="str">
        <f t="shared" si="0"/>
        <v/>
      </c>
      <c r="AC20" s="13" t="str">
        <f t="shared" si="1"/>
        <v/>
      </c>
      <c r="AD20" s="13" t="str">
        <f t="shared" si="2"/>
        <v/>
      </c>
      <c r="AE20" s="13" t="str">
        <f t="shared" si="3"/>
        <v/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x14ac:dyDescent="0.25">
      <c r="A21" s="5"/>
      <c r="B21" s="5"/>
      <c r="C21" s="5"/>
      <c r="D21" s="5"/>
      <c r="E21" s="5"/>
      <c r="F21" s="5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13" t="str">
        <f t="shared" si="0"/>
        <v/>
      </c>
      <c r="AC21" s="13" t="str">
        <f t="shared" si="1"/>
        <v/>
      </c>
      <c r="AD21" s="13" t="str">
        <f t="shared" si="2"/>
        <v/>
      </c>
      <c r="AE21" s="13" t="str">
        <f t="shared" si="3"/>
        <v/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5" x14ac:dyDescent="0.25">
      <c r="A22" s="5"/>
      <c r="B22" s="5"/>
      <c r="C22" s="5"/>
      <c r="D22" s="5"/>
      <c r="E22" s="5"/>
      <c r="F22" s="5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13" t="str">
        <f t="shared" si="0"/>
        <v/>
      </c>
      <c r="AC22" s="13" t="str">
        <f t="shared" si="1"/>
        <v/>
      </c>
      <c r="AD22" s="13" t="str">
        <f t="shared" si="2"/>
        <v/>
      </c>
      <c r="AE22" s="13" t="str">
        <f t="shared" si="3"/>
        <v/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x14ac:dyDescent="0.25">
      <c r="A23" s="5"/>
      <c r="B23" s="5"/>
      <c r="C23" s="5"/>
      <c r="D23" s="5"/>
      <c r="E23" s="5"/>
      <c r="F23" s="5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13" t="str">
        <f t="shared" si="0"/>
        <v/>
      </c>
      <c r="AC23" s="13" t="str">
        <f t="shared" si="1"/>
        <v/>
      </c>
      <c r="AD23" s="13" t="str">
        <f t="shared" si="2"/>
        <v/>
      </c>
      <c r="AE23" s="13" t="str">
        <f t="shared" si="3"/>
        <v/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 x14ac:dyDescent="0.25">
      <c r="A24" s="5"/>
      <c r="B24" s="5"/>
      <c r="C24" s="5"/>
      <c r="D24" s="5"/>
      <c r="E24" s="5"/>
      <c r="F24" s="5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13" t="str">
        <f t="shared" si="0"/>
        <v/>
      </c>
      <c r="AC24" s="13" t="str">
        <f t="shared" si="1"/>
        <v/>
      </c>
      <c r="AD24" s="13" t="str">
        <f t="shared" si="2"/>
        <v/>
      </c>
      <c r="AE24" s="13" t="str">
        <f t="shared" si="3"/>
        <v/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 spans="1:45" x14ac:dyDescent="0.25">
      <c r="A25" s="5"/>
      <c r="B25" s="5"/>
      <c r="C25" s="5"/>
      <c r="D25" s="5"/>
      <c r="E25" s="5"/>
      <c r="F25" s="5"/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13" t="str">
        <f t="shared" si="0"/>
        <v/>
      </c>
      <c r="AC25" s="13" t="str">
        <f t="shared" si="1"/>
        <v/>
      </c>
      <c r="AD25" s="13" t="str">
        <f t="shared" si="2"/>
        <v/>
      </c>
      <c r="AE25" s="13" t="str">
        <f t="shared" si="3"/>
        <v/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 x14ac:dyDescent="0.25">
      <c r="A26" s="5"/>
      <c r="B26" s="5"/>
      <c r="C26" s="5"/>
      <c r="D26" s="5"/>
      <c r="E26" s="5"/>
      <c r="F26" s="5"/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3" t="str">
        <f t="shared" si="0"/>
        <v/>
      </c>
      <c r="AC26" s="13" t="str">
        <f t="shared" si="1"/>
        <v/>
      </c>
      <c r="AD26" s="13" t="str">
        <f t="shared" si="2"/>
        <v/>
      </c>
      <c r="AE26" s="13" t="str">
        <f t="shared" si="3"/>
        <v/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</row>
    <row r="27" spans="1:45" x14ac:dyDescent="0.25">
      <c r="A27" s="5"/>
      <c r="B27" s="5"/>
      <c r="C27" s="5"/>
      <c r="D27" s="5"/>
      <c r="E27" s="5"/>
      <c r="F27" s="5"/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13" t="str">
        <f t="shared" si="0"/>
        <v/>
      </c>
      <c r="AC27" s="13" t="str">
        <f t="shared" si="1"/>
        <v/>
      </c>
      <c r="AD27" s="13" t="str">
        <f t="shared" si="2"/>
        <v/>
      </c>
      <c r="AE27" s="13" t="str">
        <f t="shared" si="3"/>
        <v/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 x14ac:dyDescent="0.25">
      <c r="A28" s="5"/>
      <c r="B28" s="5"/>
      <c r="C28" s="5"/>
      <c r="D28" s="5"/>
      <c r="E28" s="5"/>
      <c r="F28" s="5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13" t="str">
        <f t="shared" si="0"/>
        <v/>
      </c>
      <c r="AC28" s="13" t="str">
        <f t="shared" si="1"/>
        <v/>
      </c>
      <c r="AD28" s="13" t="str">
        <f t="shared" si="2"/>
        <v/>
      </c>
      <c r="AE28" s="13" t="str">
        <f t="shared" si="3"/>
        <v/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 x14ac:dyDescent="0.25">
      <c r="A29" s="5"/>
      <c r="B29" s="5"/>
      <c r="C29" s="5"/>
      <c r="D29" s="5"/>
      <c r="E29" s="5"/>
      <c r="F29" s="5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13" t="str">
        <f t="shared" si="0"/>
        <v/>
      </c>
      <c r="AC29" s="13" t="str">
        <f t="shared" si="1"/>
        <v/>
      </c>
      <c r="AD29" s="13" t="str">
        <f t="shared" si="2"/>
        <v/>
      </c>
      <c r="AE29" s="13" t="str">
        <f t="shared" si="3"/>
        <v/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</row>
    <row r="30" spans="1:45" x14ac:dyDescent="0.25">
      <c r="A30" s="5"/>
      <c r="B30" s="5"/>
      <c r="C30" s="5"/>
      <c r="D30" s="5"/>
      <c r="E30" s="5"/>
      <c r="F30" s="5"/>
      <c r="G30" s="1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13" t="str">
        <f t="shared" si="0"/>
        <v/>
      </c>
      <c r="AC30" s="13" t="str">
        <f t="shared" si="1"/>
        <v/>
      </c>
      <c r="AD30" s="13" t="str">
        <f t="shared" si="2"/>
        <v/>
      </c>
      <c r="AE30" s="13" t="str">
        <f t="shared" si="3"/>
        <v/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</sheetData>
  <dataValidations count="30">
    <dataValidation type="list" allowBlank="1" showErrorMessage="1" errorTitle="Dato inválido" error="Valor no permitido en autorizacion_local. Revise el diccionario." sqref="K3:K30" xr:uid="{00000000-0002-0000-0200-000006000000}">
      <formula1>"0,1"</formula1>
      <formula2>0</formula2>
    </dataValidation>
    <dataValidation type="list" allowBlank="1" showErrorMessage="1" errorTitle="Dato inválido" error="Valor no permitido en st1. Revise el diccionario." sqref="L3:L30" xr:uid="{00000000-0002-0000-0200-000007000000}">
      <formula1>"0,1"</formula1>
      <formula2>0</formula2>
    </dataValidation>
    <dataValidation type="list" allowBlank="1" showErrorMessage="1" errorTitle="Dato inválido" error="Valor no permitido en st2. Revise el diccionario." sqref="M3:M30" xr:uid="{00000000-0002-0000-0200-000008000000}">
      <formula1>"0,1"</formula1>
      <formula2>0</formula2>
    </dataValidation>
    <dataValidation type="list" allowBlank="1" showErrorMessage="1" errorTitle="Dato inválido" error="Valor no permitido en st3. Revise el diccionario." sqref="N3:N30" xr:uid="{00000000-0002-0000-0200-000009000000}">
      <formula1>"0,1"</formula1>
      <formula2>0</formula2>
    </dataValidation>
    <dataValidation type="list" allowBlank="1" showErrorMessage="1" errorTitle="Dato inválido" error="Valor no permitido en st4. Revise el diccionario." sqref="O3:O30" xr:uid="{00000000-0002-0000-0200-00000A000000}">
      <formula1>"0,1"</formula1>
      <formula2>0</formula2>
    </dataValidation>
    <dataValidation type="list" allowBlank="1" showErrorMessage="1" errorTitle="Dato inválido" error="Valor no permitido en st5. Revise el diccionario." sqref="P3:P30" xr:uid="{00000000-0002-0000-0200-00000B000000}">
      <formula1>"0,1"</formula1>
      <formula2>0</formula2>
    </dataValidation>
    <dataValidation type="list" allowBlank="1" showErrorMessage="1" errorTitle="Dato inválido" error="Valor no permitido en st6. Revise el diccionario." sqref="Q3:Q30" xr:uid="{00000000-0002-0000-0200-00000C000000}">
      <formula1>"0,1"</formula1>
      <formula2>0</formula2>
    </dataValidation>
    <dataValidation type="list" allowBlank="1" showErrorMessage="1" errorTitle="Dato inválido" error="Valor no permitido en st7. Revise el diccionario." sqref="R3:R30" xr:uid="{00000000-0002-0000-0200-00000D000000}">
      <formula1>"0,1"</formula1>
      <formula2>0</formula2>
    </dataValidation>
    <dataValidation type="list" allowBlank="1" showErrorMessage="1" errorTitle="Dato inválido" error="Valor no permitido en st8. Revise el diccionario." sqref="S3:S30" xr:uid="{00000000-0002-0000-0200-00000E000000}">
      <formula1>"0,1"</formula1>
      <formula2>0</formula2>
    </dataValidation>
    <dataValidation type="list" allowBlank="1" showErrorMessage="1" errorTitle="Dato inválido" error="Valor no permitido en am1. Revise el diccionario." sqref="T3:T30" xr:uid="{00000000-0002-0000-0200-00000F000000}">
      <formula1>"0,1"</formula1>
      <formula2>0</formula2>
    </dataValidation>
    <dataValidation type="list" allowBlank="1" showErrorMessage="1" errorTitle="Dato inválido" error="Valor no permitido en am2. Revise el diccionario." sqref="U3:U30" xr:uid="{00000000-0002-0000-0200-000010000000}">
      <formula1>"0,1"</formula1>
      <formula2>0</formula2>
    </dataValidation>
    <dataValidation type="list" allowBlank="1" showErrorMessage="1" errorTitle="Dato inválido" error="Valor no permitido en am3. Revise el diccionario." sqref="V3:V30" xr:uid="{00000000-0002-0000-0200-000011000000}">
      <formula1>"0,1"</formula1>
      <formula2>0</formula2>
    </dataValidation>
    <dataValidation type="list" allowBlank="1" showErrorMessage="1" errorTitle="Dato inválido" error="Valor no permitido en am4. Revise el diccionario." sqref="W3:W30" xr:uid="{00000000-0002-0000-0200-000012000000}">
      <formula1>"0,1"</formula1>
      <formula2>0</formula2>
    </dataValidation>
    <dataValidation type="list" allowBlank="1" showErrorMessage="1" errorTitle="Dato inválido" error="Valor no permitido en am5. Revise el diccionario." sqref="X3:X30" xr:uid="{00000000-0002-0000-0200-000013000000}">
      <formula1>"0,1"</formula1>
      <formula2>0</formula2>
    </dataValidation>
    <dataValidation type="list" allowBlank="1" showErrorMessage="1" errorTitle="Dato inválido" error="Valor no permitido en am6. Revise el diccionario." sqref="Y3:Y30" xr:uid="{00000000-0002-0000-0200-000014000000}">
      <formula1>"0,1"</formula1>
      <formula2>0</formula2>
    </dataValidation>
    <dataValidation type="list" allowBlank="1" showErrorMessage="1" errorTitle="Dato inválido" error="Valor no permitido en am7. Revise el diccionario." sqref="Z3:Z30" xr:uid="{00000000-0002-0000-0200-000015000000}">
      <formula1>"0,1"</formula1>
      <formula2>0</formula2>
    </dataValidation>
    <dataValidation type="list" allowBlank="1" showErrorMessage="1" errorTitle="Dato inválido" error="Valor no permitido en am8. Revise el diccionario." sqref="AA3:AA30" xr:uid="{00000000-0002-0000-0200-000016000000}">
      <formula1>"0,1"</formula1>
      <formula2>0</formula2>
    </dataValidation>
    <dataValidation type="whole" allowBlank="1" showErrorMessage="1" errorTitle="Dato inválido" error="Valor no permitido en ruido_1a5. Revise el diccionario." sqref="AF3:AF30" xr:uid="{00000000-0002-0000-0200-000017000000}">
      <formula1>1</formula1>
      <formula2>5</formula2>
    </dataValidation>
    <dataValidation type="decimal" allowBlank="1" showErrorMessage="1" errorTitle="Dato inválido" error="Valor no permitido en ocupacion_pct. Revise el diccionario." sqref="AG3:AG30" xr:uid="{00000000-0002-0000-0200-000018000000}">
      <formula1>0</formula1>
      <formula2>100</formula2>
    </dataValidation>
    <dataValidation type="decimal" operator="greaterThanOrEqual" allowBlank="1" showErrorMessage="1" errorTitle="Dato inválido" error="Valor no permitido en espera_min. Revise el diccionario." sqref="AH3:AH30" xr:uid="{00000000-0002-0000-0200-000019000000}">
      <formula1>0</formula1>
      <formula2>0</formula2>
    </dataValidation>
    <dataValidation type="whole" allowBlank="1" showErrorMessage="1" errorTitle="Dato inválido" error="Valor no permitido en presentacion_1a5. Revise el diccionario." sqref="AI3:AI30" xr:uid="{00000000-0002-0000-0200-00001A000000}">
      <formula1>1</formula1>
      <formula2>5</formula2>
    </dataValidation>
    <dataValidation type="decimal" operator="greaterThanOrEqual" allowBlank="1" showErrorMessage="1" errorTitle="Dato inválido" error="Valor no permitido en precio_capuchino_cop. Revise el diccionario." sqref="AJ3:AJ30" xr:uid="{00000000-0002-0000-0200-00001B000000}">
      <formula1>0</formula1>
      <formula2>0</formula2>
    </dataValidation>
    <dataValidation type="list" allowBlank="1" showErrorMessage="1" errorTitle="Dato inválido" error="Valor no permitido en ofrece_filtrados. Revise el diccionario." sqref="AK3:AK30" xr:uid="{00000000-0002-0000-0200-00001C000000}">
      <formula1>"0,1"</formula1>
      <formula2>0</formula2>
    </dataValidation>
    <dataValidation type="decimal" operator="greaterThanOrEqual" allowBlank="1" showErrorMessage="1" errorTitle="Dato inválido" error="Valor no permitido en precio_filtrado_cop. Revise el diccionario." sqref="AL3:AL30" xr:uid="{00000000-0002-0000-0200-00001D000000}">
      <formula1>0</formula1>
      <formula2>0</formula2>
    </dataValidation>
    <dataValidation type="list" allowBlank="1" showErrorMessage="1" errorTitle="Dato inválido" error="Valor no permitido en tiene_instagram. Revise el diccionario." sqref="AM3:AM30" xr:uid="{00000000-0002-0000-0200-00001E000000}">
      <formula1>"0,1"</formula1>
      <formula2>0</formula2>
    </dataValidation>
    <dataValidation type="decimal" operator="greaterThanOrEqual" allowBlank="1" showErrorMessage="1" errorTitle="Dato inválido" error="Valor no permitido en seguidores_ig. Revise el diccionario." sqref="AN3:AN30" xr:uid="{00000000-0002-0000-0200-00001F000000}">
      <formula1>0</formula1>
      <formula2>0</formula2>
    </dataValidation>
    <dataValidation type="decimal" allowBlank="1" showErrorMessage="1" errorTitle="Dato inválido" error="Valor no permitido en pub_origen_ig. Revise el diccionario." sqref="AO3:AO30" xr:uid="{00000000-0002-0000-0200-000020000000}">
      <formula1>0</formula1>
      <formula2>12</formula2>
    </dataValidation>
    <dataValidation type="decimal" allowBlank="1" showErrorMessage="1" errorTitle="Dato inválido" error="Valor no permitido en google_rating. Revise el diccionario." sqref="AP3:AP30" xr:uid="{00000000-0002-0000-0200-000021000000}">
      <formula1>1</formula1>
      <formula2>5</formula2>
    </dataValidation>
    <dataValidation type="decimal" operator="greaterThanOrEqual" allowBlank="1" showErrorMessage="1" errorTitle="Dato inválido" error="Valor no permitido en google_resenas. Revise el diccionario." sqref="AQ3:AQ30" xr:uid="{00000000-0002-0000-0200-000022000000}">
      <formula1>0</formula1>
      <formula2>0</formula2>
    </dataValidation>
    <dataValidation type="list" allowBlank="1" showErrorMessage="1" errorTitle="Dato inválido" error="Valor no permitido en fotos_ok. Revise el diccionario." sqref="AR3:AR30" xr:uid="{00000000-0002-0000-0200-000023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Dato inválido" error="Valor no permitido en localidad. Revise el diccionario." xr:uid="{00000000-0002-0000-0200-000000000000}">
          <x14:formula1>
            <xm:f>Listas!$A$2:$A$9</xm:f>
          </x14:formula1>
          <x14:formula2>
            <xm:f>0</xm:f>
          </x14:formula2>
          <xm:sqref>D3:D30</xm:sqref>
        </x14:dataValidation>
        <x14:dataValidation type="list" allowBlank="1" showErrorMessage="1" errorTitle="Dato inválido" error="Valor no permitido en zona_muestreo. Revise el diccionario." xr:uid="{00000000-0002-0000-0200-000001000000}">
          <x14:formula1>
            <xm:f>Listas!$B$2:$B$5</xm:f>
          </x14:formula1>
          <x14:formula2>
            <xm:f>0</xm:f>
          </x14:formula2>
          <xm:sqref>E3:E30</xm:sqref>
        </x14:dataValidation>
        <x14:dataValidation type="list" allowBlank="1" showErrorMessage="1" errorTitle="Dato inválido" error="Valor no permitido en tipo_negocio. Revise el diccionario." xr:uid="{00000000-0002-0000-0200-000002000000}">
          <x14:formula1>
            <xm:f>Listas!$C$2:$C$5</xm:f>
          </x14:formula1>
          <x14:formula2>
            <xm:f>0</xm:f>
          </x14:formula2>
          <xm:sqref>F3:F30</xm:sqref>
        </x14:dataValidation>
        <x14:dataValidation type="list" allowBlank="1" showErrorMessage="1" errorTitle="Dato inválido" error="Valor no permitido en dia_tipo. Revise el diccionario." xr:uid="{00000000-0002-0000-0200-000003000000}">
          <x14:formula1>
            <xm:f>Listas!$D$2:$D$3</xm:f>
          </x14:formula1>
          <x14:formula2>
            <xm:f>0</xm:f>
          </x14:formula2>
          <xm:sqref>H3:H30</xm:sqref>
        </x14:dataValidation>
        <x14:dataValidation type="list" allowBlank="1" showErrorMessage="1" errorTitle="Dato inválido" error="Valor no permitido en franja. Revise el diccionario." xr:uid="{00000000-0002-0000-0200-000004000000}">
          <x14:formula1>
            <xm:f>Listas!$E$2:$E$3</xm:f>
          </x14:formula1>
          <x14:formula2>
            <xm:f>0</xm:f>
          </x14:formula2>
          <xm:sqref>I3:I30</xm:sqref>
        </x14:dataValidation>
        <x14:dataValidation type="list" allowBlank="1" showErrorMessage="1" errorTitle="Dato inválido" error="Valor no permitido en observador. Revise el diccionario." xr:uid="{00000000-0002-0000-0200-000005000000}">
          <x14:formula1>
            <xm:f>Listas!$F$2:$F$4</xm:f>
          </x14:formula1>
          <x14:formula2>
            <xm:f>0</xm:f>
          </x14:formula2>
          <xm:sqref>J3:J30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4" width="12" customWidth="1"/>
    <col min="5" max="5" width="15" customWidth="1"/>
    <col min="6" max="6" width="18" customWidth="1"/>
    <col min="7" max="7" width="15" customWidth="1"/>
    <col min="8" max="8" width="17" customWidth="1"/>
    <col min="9" max="9" width="16" customWidth="1"/>
    <col min="10" max="10" width="22" customWidth="1"/>
    <col min="11" max="11" width="15" customWidth="1"/>
    <col min="12" max="14" width="16" customWidth="1"/>
    <col min="15" max="15" width="14" customWidth="1"/>
    <col min="16" max="16" width="17" customWidth="1"/>
    <col min="17" max="17" width="13" customWidth="1"/>
    <col min="18" max="18" width="15" customWidth="1"/>
    <col min="19" max="19" width="16" customWidth="1"/>
    <col min="20" max="20" width="18" customWidth="1"/>
    <col min="21" max="21" width="14" customWidth="1"/>
    <col min="22" max="22" width="16" customWidth="1"/>
    <col min="23" max="23" width="15" customWidth="1"/>
    <col min="24" max="24" width="16" customWidth="1"/>
    <col min="25" max="25" width="17" customWidth="1"/>
    <col min="26" max="26" width="21" customWidth="1"/>
    <col min="27" max="29" width="18" customWidth="1"/>
    <col min="30" max="30" width="15" customWidth="1"/>
    <col min="31" max="31" width="17" customWidth="1"/>
    <col min="32" max="32" width="18" customWidth="1"/>
    <col min="33" max="33" width="17" customWidth="1"/>
    <col min="34" max="34" width="21" customWidth="1"/>
    <col min="35" max="35" width="16" customWidth="1"/>
    <col min="36" max="36" width="14" customWidth="1"/>
    <col min="37" max="37" width="13" customWidth="1"/>
    <col min="38" max="38" width="17" customWidth="1"/>
    <col min="39" max="39" width="19" customWidth="1"/>
  </cols>
  <sheetData>
    <row r="1" spans="1:39" ht="33.75" customHeight="1" x14ac:dyDescent="0.25">
      <c r="A1" s="7" t="s">
        <v>89</v>
      </c>
      <c r="B1" s="7" t="s">
        <v>12</v>
      </c>
      <c r="C1" s="7" t="s">
        <v>46</v>
      </c>
      <c r="D1" s="7" t="s">
        <v>90</v>
      </c>
      <c r="E1" s="7" t="s">
        <v>91</v>
      </c>
      <c r="F1" s="7" t="s">
        <v>92</v>
      </c>
      <c r="G1" s="8" t="s">
        <v>93</v>
      </c>
      <c r="H1" s="8" t="s">
        <v>94</v>
      </c>
      <c r="I1" s="8" t="s">
        <v>95</v>
      </c>
      <c r="J1" s="8" t="s">
        <v>96</v>
      </c>
      <c r="K1" s="7" t="s">
        <v>97</v>
      </c>
      <c r="L1" s="7" t="s">
        <v>98</v>
      </c>
      <c r="M1" s="7" t="s">
        <v>99</v>
      </c>
      <c r="N1" s="7" t="s">
        <v>100</v>
      </c>
      <c r="O1" s="7" t="s">
        <v>101</v>
      </c>
      <c r="P1" s="7" t="s">
        <v>102</v>
      </c>
      <c r="Q1" s="7" t="s">
        <v>103</v>
      </c>
      <c r="R1" s="7" t="s">
        <v>104</v>
      </c>
      <c r="S1" s="8" t="s">
        <v>105</v>
      </c>
      <c r="T1" s="8" t="s">
        <v>106</v>
      </c>
      <c r="U1" s="8" t="s">
        <v>107</v>
      </c>
      <c r="V1" s="8" t="s">
        <v>108</v>
      </c>
      <c r="W1" s="8" t="s">
        <v>109</v>
      </c>
      <c r="X1" s="8" t="s">
        <v>110</v>
      </c>
      <c r="Y1" s="8" t="s">
        <v>111</v>
      </c>
      <c r="Z1" s="8" t="s">
        <v>112</v>
      </c>
      <c r="AA1" s="8" t="s">
        <v>113</v>
      </c>
      <c r="AB1" s="8" t="s">
        <v>114</v>
      </c>
      <c r="AC1" s="7" t="s">
        <v>115</v>
      </c>
      <c r="AD1" s="7" t="s">
        <v>116</v>
      </c>
      <c r="AE1" s="7" t="s">
        <v>117</v>
      </c>
      <c r="AF1" s="7" t="s">
        <v>118</v>
      </c>
      <c r="AG1" s="7" t="s">
        <v>119</v>
      </c>
      <c r="AH1" s="7" t="s">
        <v>120</v>
      </c>
      <c r="AI1" s="7" t="s">
        <v>121</v>
      </c>
      <c r="AJ1" s="8" t="s">
        <v>122</v>
      </c>
      <c r="AK1" s="8" t="s">
        <v>123</v>
      </c>
      <c r="AL1" s="8" t="s">
        <v>124</v>
      </c>
      <c r="AM1" s="7" t="s">
        <v>125</v>
      </c>
    </row>
    <row r="2" spans="1:39" x14ac:dyDescent="0.25">
      <c r="A2" s="9" t="s">
        <v>83</v>
      </c>
      <c r="B2" s="9" t="s">
        <v>23</v>
      </c>
      <c r="C2" s="10">
        <v>46340</v>
      </c>
      <c r="D2" s="9" t="s">
        <v>126</v>
      </c>
      <c r="E2" s="9" t="s">
        <v>25</v>
      </c>
      <c r="F2" s="9">
        <v>1</v>
      </c>
      <c r="G2" s="9" t="s">
        <v>127</v>
      </c>
      <c r="H2" s="9" t="s">
        <v>128</v>
      </c>
      <c r="I2" s="9" t="s">
        <v>129</v>
      </c>
      <c r="J2" s="9">
        <v>60</v>
      </c>
      <c r="K2" s="9">
        <v>5</v>
      </c>
      <c r="L2" s="9">
        <v>4</v>
      </c>
      <c r="M2" s="9">
        <v>3</v>
      </c>
      <c r="N2" s="9">
        <v>5</v>
      </c>
      <c r="O2" s="9">
        <v>3</v>
      </c>
      <c r="P2" s="9">
        <v>4</v>
      </c>
      <c r="Q2" s="9">
        <v>2</v>
      </c>
      <c r="R2" s="9" t="s">
        <v>130</v>
      </c>
      <c r="S2" s="9">
        <v>5</v>
      </c>
      <c r="T2" s="9">
        <v>4</v>
      </c>
      <c r="U2" s="9">
        <v>3</v>
      </c>
      <c r="V2" s="9">
        <v>3</v>
      </c>
      <c r="W2" s="9">
        <v>5</v>
      </c>
      <c r="X2" s="9">
        <v>4</v>
      </c>
      <c r="Y2" s="9">
        <v>0</v>
      </c>
      <c r="Z2" s="9"/>
      <c r="AA2" s="9" t="s">
        <v>131</v>
      </c>
      <c r="AB2" s="9"/>
      <c r="AC2" s="9">
        <v>9</v>
      </c>
      <c r="AD2" s="9">
        <v>5</v>
      </c>
      <c r="AE2" s="9" t="s">
        <v>132</v>
      </c>
      <c r="AF2" s="9" t="s">
        <v>133</v>
      </c>
      <c r="AG2" s="9">
        <v>18000</v>
      </c>
      <c r="AH2" s="9">
        <v>11000</v>
      </c>
      <c r="AI2" s="9" t="s">
        <v>134</v>
      </c>
      <c r="AJ2" s="9" t="s">
        <v>135</v>
      </c>
      <c r="AK2" s="9" t="s">
        <v>136</v>
      </c>
      <c r="AL2" s="9" t="s">
        <v>137</v>
      </c>
      <c r="AM2" s="9"/>
    </row>
    <row r="3" spans="1:39" x14ac:dyDescent="0.25">
      <c r="A3" s="5"/>
      <c r="B3" s="5"/>
      <c r="C3" s="1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5"/>
      <c r="B4" s="5"/>
      <c r="C4" s="1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x14ac:dyDescent="0.25">
      <c r="A5" s="5"/>
      <c r="B5" s="5"/>
      <c r="C5" s="1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x14ac:dyDescent="0.25">
      <c r="A6" s="5"/>
      <c r="B6" s="5"/>
      <c r="C6" s="1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x14ac:dyDescent="0.25">
      <c r="A7" s="5"/>
      <c r="B7" s="5"/>
      <c r="C7" s="1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x14ac:dyDescent="0.25">
      <c r="A8" s="5"/>
      <c r="B8" s="5"/>
      <c r="C8" s="1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x14ac:dyDescent="0.25">
      <c r="A9" s="5"/>
      <c r="B9" s="5"/>
      <c r="C9" s="12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5">
      <c r="A10" s="5"/>
      <c r="B10" s="5"/>
      <c r="C10" s="12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x14ac:dyDescent="0.25">
      <c r="A11" s="5"/>
      <c r="B11" s="5"/>
      <c r="C11" s="1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25">
      <c r="A12" s="5"/>
      <c r="B12" s="5"/>
      <c r="C12" s="1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5">
      <c r="A13" s="5"/>
      <c r="B13" s="5"/>
      <c r="C13" s="1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5">
      <c r="A14" s="5"/>
      <c r="B14" s="5"/>
      <c r="C14" s="1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25">
      <c r="A15" s="5"/>
      <c r="B15" s="5"/>
      <c r="C15" s="1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25">
      <c r="A16" s="5"/>
      <c r="B16" s="5"/>
      <c r="C16" s="1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5">
      <c r="A17" s="5"/>
      <c r="B17" s="5"/>
      <c r="C17" s="1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5">
      <c r="A18" s="5"/>
      <c r="B18" s="5"/>
      <c r="C18" s="1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x14ac:dyDescent="0.25">
      <c r="A19" s="5"/>
      <c r="B19" s="5"/>
      <c r="C19" s="1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5">
      <c r="A20" s="5"/>
      <c r="B20" s="5"/>
      <c r="C20" s="1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x14ac:dyDescent="0.25">
      <c r="A21" s="5"/>
      <c r="B21" s="5"/>
      <c r="C21" s="1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x14ac:dyDescent="0.25">
      <c r="A22" s="5"/>
      <c r="B22" s="5"/>
      <c r="C22" s="1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x14ac:dyDescent="0.25">
      <c r="A23" s="5"/>
      <c r="B23" s="5"/>
      <c r="C23" s="1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5">
      <c r="A24" s="5"/>
      <c r="B24" s="5"/>
      <c r="C24" s="1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5">
      <c r="A25" s="5"/>
      <c r="B25" s="5"/>
      <c r="C25" s="1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x14ac:dyDescent="0.25">
      <c r="A26" s="5"/>
      <c r="B26" s="5"/>
      <c r="C26" s="1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x14ac:dyDescent="0.25">
      <c r="A27" s="5"/>
      <c r="B27" s="5"/>
      <c r="C27" s="1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5">
      <c r="A28" s="5"/>
      <c r="B28" s="5"/>
      <c r="C28" s="1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25">
      <c r="A29" s="5"/>
      <c r="B29" s="5"/>
      <c r="C29" s="1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25">
      <c r="A30" s="5"/>
      <c r="B30" s="5"/>
      <c r="C30" s="1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25">
      <c r="A31" s="5"/>
      <c r="B31" s="5"/>
      <c r="C31" s="1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25">
      <c r="A32" s="5"/>
      <c r="B32" s="5"/>
      <c r="C32" s="1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25">
      <c r="A33" s="5"/>
      <c r="B33" s="5"/>
      <c r="C33" s="1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5"/>
      <c r="B34" s="5"/>
      <c r="C34" s="1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x14ac:dyDescent="0.25">
      <c r="A35" s="5"/>
      <c r="B35" s="5"/>
      <c r="C35" s="1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x14ac:dyDescent="0.25">
      <c r="A36" s="5"/>
      <c r="B36" s="5"/>
      <c r="C36" s="1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5">
      <c r="A37" s="5"/>
      <c r="B37" s="5"/>
      <c r="C37" s="1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5">
      <c r="A38" s="5"/>
      <c r="B38" s="5"/>
      <c r="C38" s="1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x14ac:dyDescent="0.25">
      <c r="A39" s="5"/>
      <c r="B39" s="5"/>
      <c r="C39" s="1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x14ac:dyDescent="0.25">
      <c r="A40" s="5"/>
      <c r="B40" s="5"/>
      <c r="C40" s="1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x14ac:dyDescent="0.25">
      <c r="A41" s="5"/>
      <c r="B41" s="5"/>
      <c r="C41" s="1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x14ac:dyDescent="0.25">
      <c r="A42" s="5"/>
      <c r="B42" s="5"/>
      <c r="C42" s="1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x14ac:dyDescent="0.25">
      <c r="A43" s="5"/>
      <c r="B43" s="5"/>
      <c r="C43" s="1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5">
      <c r="A44" s="5"/>
      <c r="B44" s="5"/>
      <c r="C44" s="1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25">
      <c r="A45" s="5"/>
      <c r="B45" s="5"/>
      <c r="C45" s="1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x14ac:dyDescent="0.25">
      <c r="A46" s="5"/>
      <c r="B46" s="5"/>
      <c r="C46" s="1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x14ac:dyDescent="0.25">
      <c r="A47" s="5"/>
      <c r="B47" s="5"/>
      <c r="C47" s="1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x14ac:dyDescent="0.25">
      <c r="A48" s="5"/>
      <c r="B48" s="5"/>
      <c r="C48" s="1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5"/>
      <c r="B49" s="5"/>
      <c r="C49" s="1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x14ac:dyDescent="0.25">
      <c r="A50" s="5"/>
      <c r="B50" s="5"/>
      <c r="C50" s="1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x14ac:dyDescent="0.25">
      <c r="A51" s="5"/>
      <c r="B51" s="5"/>
      <c r="C51" s="1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5"/>
      <c r="B52" s="5"/>
      <c r="C52" s="1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x14ac:dyDescent="0.25">
      <c r="A53" s="5"/>
      <c r="B53" s="5"/>
      <c r="C53" s="1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x14ac:dyDescent="0.25">
      <c r="A54" s="5"/>
      <c r="B54" s="5"/>
      <c r="C54" s="1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x14ac:dyDescent="0.25">
      <c r="A55" s="5"/>
      <c r="B55" s="5"/>
      <c r="C55" s="1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5"/>
      <c r="B56" s="5"/>
      <c r="C56" s="1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5"/>
      <c r="B57" s="5"/>
      <c r="C57" s="1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5"/>
      <c r="B58" s="5"/>
      <c r="C58" s="1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x14ac:dyDescent="0.25">
      <c r="A59" s="5"/>
      <c r="B59" s="5"/>
      <c r="C59" s="1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x14ac:dyDescent="0.25">
      <c r="A60" s="5"/>
      <c r="B60" s="5"/>
      <c r="C60" s="1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x14ac:dyDescent="0.25">
      <c r="A61" s="5"/>
      <c r="B61" s="5"/>
      <c r="C61" s="1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5"/>
      <c r="B62" s="5"/>
      <c r="C62" s="1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x14ac:dyDescent="0.25">
      <c r="A63" s="5"/>
      <c r="B63" s="5"/>
      <c r="C63" s="1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x14ac:dyDescent="0.25">
      <c r="A64" s="5"/>
      <c r="B64" s="5"/>
      <c r="C64" s="1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x14ac:dyDescent="0.25">
      <c r="A65" s="5"/>
      <c r="B65" s="5"/>
      <c r="C65" s="1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x14ac:dyDescent="0.25">
      <c r="A66" s="5"/>
      <c r="B66" s="5"/>
      <c r="C66" s="1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x14ac:dyDescent="0.25">
      <c r="A67" s="5"/>
      <c r="B67" s="5"/>
      <c r="C67" s="1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x14ac:dyDescent="0.25">
      <c r="A68" s="5"/>
      <c r="B68" s="5"/>
      <c r="C68" s="1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x14ac:dyDescent="0.25">
      <c r="A69" s="5"/>
      <c r="B69" s="5"/>
      <c r="C69" s="1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x14ac:dyDescent="0.25">
      <c r="A70" s="5"/>
      <c r="B70" s="5"/>
      <c r="C70" s="1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x14ac:dyDescent="0.25">
      <c r="A71" s="5"/>
      <c r="B71" s="5"/>
      <c r="C71" s="1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x14ac:dyDescent="0.25">
      <c r="A72" s="5"/>
      <c r="B72" s="5"/>
      <c r="C72" s="1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x14ac:dyDescent="0.25">
      <c r="A73" s="5"/>
      <c r="B73" s="5"/>
      <c r="C73" s="1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x14ac:dyDescent="0.25">
      <c r="A74" s="5"/>
      <c r="B74" s="5"/>
      <c r="C74" s="1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x14ac:dyDescent="0.25">
      <c r="A75" s="5"/>
      <c r="B75" s="5"/>
      <c r="C75" s="1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25">
      <c r="A76" s="5"/>
      <c r="B76" s="5"/>
      <c r="C76" s="1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x14ac:dyDescent="0.25">
      <c r="A77" s="5"/>
      <c r="B77" s="5"/>
      <c r="C77" s="1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x14ac:dyDescent="0.25">
      <c r="A78" s="5"/>
      <c r="B78" s="5"/>
      <c r="C78" s="1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x14ac:dyDescent="0.25">
      <c r="A79" s="5"/>
      <c r="B79" s="5"/>
      <c r="C79" s="1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x14ac:dyDescent="0.25">
      <c r="A80" s="5"/>
      <c r="B80" s="5"/>
      <c r="C80" s="1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x14ac:dyDescent="0.25">
      <c r="A81" s="5"/>
      <c r="B81" s="5"/>
      <c r="C81" s="1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x14ac:dyDescent="0.25">
      <c r="A82" s="5"/>
      <c r="B82" s="5"/>
      <c r="C82" s="1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x14ac:dyDescent="0.25">
      <c r="A83" s="5"/>
      <c r="B83" s="5"/>
      <c r="C83" s="1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x14ac:dyDescent="0.25">
      <c r="A84" s="5"/>
      <c r="B84" s="5"/>
      <c r="C84" s="1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x14ac:dyDescent="0.25">
      <c r="A85" s="5"/>
      <c r="B85" s="5"/>
      <c r="C85" s="1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x14ac:dyDescent="0.25">
      <c r="A86" s="5"/>
      <c r="B86" s="5"/>
      <c r="C86" s="1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x14ac:dyDescent="0.25">
      <c r="A87" s="5"/>
      <c r="B87" s="5"/>
      <c r="C87" s="1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x14ac:dyDescent="0.25">
      <c r="A88" s="5"/>
      <c r="B88" s="5"/>
      <c r="C88" s="1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25">
      <c r="A89" s="5"/>
      <c r="B89" s="5"/>
      <c r="C89" s="1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x14ac:dyDescent="0.25">
      <c r="A90" s="5"/>
      <c r="B90" s="5"/>
      <c r="C90" s="1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x14ac:dyDescent="0.25">
      <c r="A91" s="5"/>
      <c r="B91" s="5"/>
      <c r="C91" s="1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x14ac:dyDescent="0.25">
      <c r="A92" s="5"/>
      <c r="B92" s="5"/>
      <c r="C92" s="1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x14ac:dyDescent="0.25">
      <c r="A93" s="5"/>
      <c r="B93" s="5"/>
      <c r="C93" s="1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25">
      <c r="A94" s="5"/>
      <c r="B94" s="5"/>
      <c r="C94" s="1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x14ac:dyDescent="0.25">
      <c r="A95" s="5"/>
      <c r="B95" s="5"/>
      <c r="C95" s="1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x14ac:dyDescent="0.25">
      <c r="A96" s="5"/>
      <c r="B96" s="5"/>
      <c r="C96" s="1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x14ac:dyDescent="0.25">
      <c r="A97" s="5"/>
      <c r="B97" s="5"/>
      <c r="C97" s="1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x14ac:dyDescent="0.25">
      <c r="A98" s="5"/>
      <c r="B98" s="5"/>
      <c r="C98" s="1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x14ac:dyDescent="0.25">
      <c r="A99" s="5"/>
      <c r="B99" s="5"/>
      <c r="C99" s="1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25">
      <c r="A100" s="5"/>
      <c r="B100" s="5"/>
      <c r="C100" s="1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x14ac:dyDescent="0.25">
      <c r="A101" s="5"/>
      <c r="B101" s="5"/>
      <c r="C101" s="1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x14ac:dyDescent="0.25">
      <c r="A102" s="5"/>
      <c r="B102" s="5"/>
      <c r="C102" s="1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x14ac:dyDescent="0.25">
      <c r="A103" s="5"/>
      <c r="B103" s="5"/>
      <c r="C103" s="1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25">
      <c r="A104" s="5"/>
      <c r="B104" s="5"/>
      <c r="C104" s="1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25">
      <c r="A105" s="5"/>
      <c r="B105" s="5"/>
      <c r="C105" s="1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25">
      <c r="A106" s="5"/>
      <c r="B106" s="5"/>
      <c r="C106" s="1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25">
      <c r="A107" s="5"/>
      <c r="B107" s="5"/>
      <c r="C107" s="1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25">
      <c r="A108" s="5"/>
      <c r="B108" s="5"/>
      <c r="C108" s="1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25">
      <c r="A109" s="5"/>
      <c r="B109" s="5"/>
      <c r="C109" s="1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x14ac:dyDescent="0.25">
      <c r="A110" s="5"/>
      <c r="B110" s="5"/>
      <c r="C110" s="1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x14ac:dyDescent="0.25">
      <c r="A111" s="5"/>
      <c r="B111" s="5"/>
      <c r="C111" s="1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x14ac:dyDescent="0.25">
      <c r="A112" s="5"/>
      <c r="B112" s="5"/>
      <c r="C112" s="1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x14ac:dyDescent="0.25">
      <c r="A113" s="5"/>
      <c r="B113" s="5"/>
      <c r="C113" s="1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x14ac:dyDescent="0.25">
      <c r="A114" s="5"/>
      <c r="B114" s="5"/>
      <c r="C114" s="1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x14ac:dyDescent="0.25">
      <c r="A115" s="5"/>
      <c r="B115" s="5"/>
      <c r="C115" s="1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x14ac:dyDescent="0.25">
      <c r="A116" s="5"/>
      <c r="B116" s="5"/>
      <c r="C116" s="1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x14ac:dyDescent="0.25">
      <c r="A117" s="5"/>
      <c r="B117" s="5"/>
      <c r="C117" s="1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x14ac:dyDescent="0.25">
      <c r="A118" s="5"/>
      <c r="B118" s="5"/>
      <c r="C118" s="1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x14ac:dyDescent="0.25">
      <c r="A119" s="5"/>
      <c r="B119" s="5"/>
      <c r="C119" s="1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x14ac:dyDescent="0.25">
      <c r="A120" s="5"/>
      <c r="B120" s="5"/>
      <c r="C120" s="1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x14ac:dyDescent="0.25">
      <c r="A121" s="5"/>
      <c r="B121" s="5"/>
      <c r="C121" s="1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x14ac:dyDescent="0.25">
      <c r="A122" s="5"/>
      <c r="B122" s="5"/>
      <c r="C122" s="1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x14ac:dyDescent="0.25">
      <c r="A123" s="5"/>
      <c r="B123" s="5"/>
      <c r="C123" s="1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x14ac:dyDescent="0.25">
      <c r="A124" s="5"/>
      <c r="B124" s="5"/>
      <c r="C124" s="1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x14ac:dyDescent="0.25">
      <c r="A125" s="5"/>
      <c r="B125" s="5"/>
      <c r="C125" s="1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x14ac:dyDescent="0.25">
      <c r="A126" s="5"/>
      <c r="B126" s="5"/>
      <c r="C126" s="1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x14ac:dyDescent="0.25">
      <c r="A127" s="5"/>
      <c r="B127" s="5"/>
      <c r="C127" s="1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25">
      <c r="A128" s="5"/>
      <c r="B128" s="5"/>
      <c r="C128" s="1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25">
      <c r="A129" s="5"/>
      <c r="B129" s="5"/>
      <c r="C129" s="1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x14ac:dyDescent="0.25">
      <c r="A130" s="5"/>
      <c r="B130" s="5"/>
      <c r="C130" s="1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x14ac:dyDescent="0.25">
      <c r="A131" s="5"/>
      <c r="B131" s="5"/>
      <c r="C131" s="1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x14ac:dyDescent="0.25">
      <c r="A132" s="5"/>
      <c r="B132" s="5"/>
      <c r="C132" s="1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x14ac:dyDescent="0.25">
      <c r="A133" s="5"/>
      <c r="B133" s="5"/>
      <c r="C133" s="1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x14ac:dyDescent="0.25">
      <c r="A134" s="5"/>
      <c r="B134" s="5"/>
      <c r="C134" s="1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x14ac:dyDescent="0.25">
      <c r="A135" s="5"/>
      <c r="B135" s="5"/>
      <c r="C135" s="1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x14ac:dyDescent="0.25">
      <c r="A136" s="5"/>
      <c r="B136" s="5"/>
      <c r="C136" s="1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x14ac:dyDescent="0.25">
      <c r="A137" s="5"/>
      <c r="B137" s="5"/>
      <c r="C137" s="1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x14ac:dyDescent="0.25">
      <c r="A138" s="5"/>
      <c r="B138" s="5"/>
      <c r="C138" s="1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x14ac:dyDescent="0.25">
      <c r="A139" s="5"/>
      <c r="B139" s="5"/>
      <c r="C139" s="1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x14ac:dyDescent="0.25">
      <c r="A140" s="5"/>
      <c r="B140" s="5"/>
      <c r="C140" s="1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x14ac:dyDescent="0.25">
      <c r="A141" s="5"/>
      <c r="B141" s="5"/>
      <c r="C141" s="1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x14ac:dyDescent="0.25">
      <c r="A142" s="5"/>
      <c r="B142" s="5"/>
      <c r="C142" s="1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x14ac:dyDescent="0.25">
      <c r="A143" s="5"/>
      <c r="B143" s="5"/>
      <c r="C143" s="1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x14ac:dyDescent="0.25">
      <c r="A144" s="5"/>
      <c r="B144" s="5"/>
      <c r="C144" s="1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x14ac:dyDescent="0.25">
      <c r="A145" s="5"/>
      <c r="B145" s="5"/>
      <c r="C145" s="1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x14ac:dyDescent="0.25">
      <c r="A146" s="5"/>
      <c r="B146" s="5"/>
      <c r="C146" s="1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x14ac:dyDescent="0.25">
      <c r="A147" s="5"/>
      <c r="B147" s="5"/>
      <c r="C147" s="1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x14ac:dyDescent="0.25">
      <c r="A148" s="5"/>
      <c r="B148" s="5"/>
      <c r="C148" s="1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x14ac:dyDescent="0.25">
      <c r="A149" s="5"/>
      <c r="B149" s="5"/>
      <c r="C149" s="1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25">
      <c r="A150" s="5"/>
      <c r="B150" s="5"/>
      <c r="C150" s="1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x14ac:dyDescent="0.25">
      <c r="A151" s="5"/>
      <c r="B151" s="5"/>
      <c r="C151" s="1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x14ac:dyDescent="0.25">
      <c r="A152" s="5"/>
      <c r="B152" s="5"/>
      <c r="C152" s="1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x14ac:dyDescent="0.25">
      <c r="A153" s="5"/>
      <c r="B153" s="5"/>
      <c r="C153" s="1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x14ac:dyDescent="0.25">
      <c r="A154" s="5"/>
      <c r="B154" s="5"/>
      <c r="C154" s="1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25">
      <c r="A155" s="5"/>
      <c r="B155" s="5"/>
      <c r="C155" s="1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x14ac:dyDescent="0.25">
      <c r="A156" s="5"/>
      <c r="B156" s="5"/>
      <c r="C156" s="1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x14ac:dyDescent="0.25">
      <c r="A157" s="5"/>
      <c r="B157" s="5"/>
      <c r="C157" s="1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x14ac:dyDescent="0.25">
      <c r="A158" s="5"/>
      <c r="B158" s="5"/>
      <c r="C158" s="1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x14ac:dyDescent="0.25">
      <c r="A159" s="5"/>
      <c r="B159" s="5"/>
      <c r="C159" s="1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x14ac:dyDescent="0.25">
      <c r="A160" s="5"/>
      <c r="B160" s="5"/>
      <c r="C160" s="1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x14ac:dyDescent="0.25">
      <c r="A161" s="5"/>
      <c r="B161" s="5"/>
      <c r="C161" s="1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x14ac:dyDescent="0.25">
      <c r="A162" s="5"/>
      <c r="B162" s="5"/>
      <c r="C162" s="1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x14ac:dyDescent="0.25">
      <c r="A163" s="5"/>
      <c r="B163" s="5"/>
      <c r="C163" s="1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x14ac:dyDescent="0.25">
      <c r="A164" s="5"/>
      <c r="B164" s="5"/>
      <c r="C164" s="1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x14ac:dyDescent="0.25">
      <c r="A165" s="5"/>
      <c r="B165" s="5"/>
      <c r="C165" s="1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x14ac:dyDescent="0.25">
      <c r="A166" s="5"/>
      <c r="B166" s="5"/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x14ac:dyDescent="0.25">
      <c r="A167" s="5"/>
      <c r="B167" s="5"/>
      <c r="C167" s="1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x14ac:dyDescent="0.25">
      <c r="A168" s="5"/>
      <c r="B168" s="5"/>
      <c r="C168" s="1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x14ac:dyDescent="0.25">
      <c r="A169" s="5"/>
      <c r="B169" s="5"/>
      <c r="C169" s="1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x14ac:dyDescent="0.25">
      <c r="A170" s="5"/>
      <c r="B170" s="5"/>
      <c r="C170" s="1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x14ac:dyDescent="0.25">
      <c r="A171" s="5"/>
      <c r="B171" s="5"/>
      <c r="C171" s="1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x14ac:dyDescent="0.25">
      <c r="A172" s="5"/>
      <c r="B172" s="5"/>
      <c r="C172" s="1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x14ac:dyDescent="0.25">
      <c r="A173" s="5"/>
      <c r="B173" s="5"/>
      <c r="C173" s="1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x14ac:dyDescent="0.25">
      <c r="A174" s="5"/>
      <c r="B174" s="5"/>
      <c r="C174" s="1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x14ac:dyDescent="0.25">
      <c r="A175" s="5"/>
      <c r="B175" s="5"/>
      <c r="C175" s="1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x14ac:dyDescent="0.25">
      <c r="A176" s="5"/>
      <c r="B176" s="5"/>
      <c r="C176" s="1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x14ac:dyDescent="0.25">
      <c r="A177" s="5"/>
      <c r="B177" s="5"/>
      <c r="C177" s="1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x14ac:dyDescent="0.25">
      <c r="A178" s="5"/>
      <c r="B178" s="5"/>
      <c r="C178" s="1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x14ac:dyDescent="0.25">
      <c r="A179" s="5"/>
      <c r="B179" s="5"/>
      <c r="C179" s="1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x14ac:dyDescent="0.25">
      <c r="A180" s="5"/>
      <c r="B180" s="5"/>
      <c r="C180" s="1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x14ac:dyDescent="0.25">
      <c r="A181" s="5"/>
      <c r="B181" s="5"/>
      <c r="C181" s="1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x14ac:dyDescent="0.25">
      <c r="A182" s="5"/>
      <c r="B182" s="5"/>
      <c r="C182" s="1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x14ac:dyDescent="0.25">
      <c r="A183" s="5"/>
      <c r="B183" s="5"/>
      <c r="C183" s="1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x14ac:dyDescent="0.25">
      <c r="A184" s="5"/>
      <c r="B184" s="5"/>
      <c r="C184" s="1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x14ac:dyDescent="0.25">
      <c r="A185" s="5"/>
      <c r="B185" s="5"/>
      <c r="C185" s="1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x14ac:dyDescent="0.25">
      <c r="A186" s="5"/>
      <c r="B186" s="5"/>
      <c r="C186" s="1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x14ac:dyDescent="0.25">
      <c r="A187" s="5"/>
      <c r="B187" s="5"/>
      <c r="C187" s="1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x14ac:dyDescent="0.25">
      <c r="A188" s="5"/>
      <c r="B188" s="5"/>
      <c r="C188" s="1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x14ac:dyDescent="0.25">
      <c r="A189" s="5"/>
      <c r="B189" s="5"/>
      <c r="C189" s="1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x14ac:dyDescent="0.25">
      <c r="A190" s="5"/>
      <c r="B190" s="5"/>
      <c r="C190" s="1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x14ac:dyDescent="0.25">
      <c r="A191" s="5"/>
      <c r="B191" s="5"/>
      <c r="C191" s="1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x14ac:dyDescent="0.25">
      <c r="A192" s="5"/>
      <c r="B192" s="5"/>
      <c r="C192" s="1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x14ac:dyDescent="0.25">
      <c r="A193" s="5"/>
      <c r="B193" s="5"/>
      <c r="C193" s="1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x14ac:dyDescent="0.25">
      <c r="A194" s="5"/>
      <c r="B194" s="5"/>
      <c r="C194" s="1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x14ac:dyDescent="0.25">
      <c r="A195" s="5"/>
      <c r="B195" s="5"/>
      <c r="C195" s="1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x14ac:dyDescent="0.25">
      <c r="A196" s="5"/>
      <c r="B196" s="5"/>
      <c r="C196" s="1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x14ac:dyDescent="0.25">
      <c r="A197" s="5"/>
      <c r="B197" s="5"/>
      <c r="C197" s="1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x14ac:dyDescent="0.25">
      <c r="A198" s="5"/>
      <c r="B198" s="5"/>
      <c r="C198" s="1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x14ac:dyDescent="0.25">
      <c r="A199" s="5"/>
      <c r="B199" s="5"/>
      <c r="C199" s="1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x14ac:dyDescent="0.25">
      <c r="A200" s="5"/>
      <c r="B200" s="5"/>
      <c r="C200" s="1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</sheetData>
  <dataValidations count="20">
    <dataValidation type="list" allowBlank="1" showErrorMessage="1" errorTitle="Dato inválido" error="Valor no permitido en consentimiento. Revise el diccionario." sqref="F3:F200" xr:uid="{00000000-0002-0000-0300-000001000000}">
      <formula1>"0,1"</formula1>
      <formula2>0</formula2>
    </dataValidation>
    <dataValidation type="decimal" operator="greaterThanOrEqual" allowBlank="1" showErrorMessage="1" errorTitle="Dato inválido" error="Valor no permitido en minutos_permanencia. Revise el diccionario." sqref="J3:J200" xr:uid="{00000000-0002-0000-0300-000005000000}">
      <formula1>0</formula1>
      <formula2>0</formula2>
    </dataValidation>
    <dataValidation type="whole" allowBlank="1" showErrorMessage="1" errorTitle="Dato inválido" error="Valor no permitido en imp_calidad. Revise el diccionario." sqref="K3:K200" xr:uid="{00000000-0002-0000-0300-000006000000}">
      <formula1>1</formula1>
      <formula2>5</formula2>
    </dataValidation>
    <dataValidation type="whole" allowBlank="1" showErrorMessage="1" errorTitle="Dato inválido" error="Valor no permitido en imp_ambiente. Revise el diccionario." sqref="L3:L200" xr:uid="{00000000-0002-0000-0300-000007000000}">
      <formula1>1</formula1>
      <formula2>5</formula2>
    </dataValidation>
    <dataValidation type="whole" allowBlank="1" showErrorMessage="1" errorTitle="Dato inválido" error="Valor no permitido en imp_historia. Revise el diccionario." sqref="M3:M200" xr:uid="{00000000-0002-0000-0300-000008000000}">
      <formula1>1</formula1>
      <formula2>5</formula2>
    </dataValidation>
    <dataValidation type="whole" allowBlank="1" showErrorMessage="1" errorTitle="Dato inválido" error="Valor no permitido en imp_atencion. Revise el diccionario." sqref="N3:N200" xr:uid="{00000000-0002-0000-0300-000009000000}">
      <formula1>1</formula1>
      <formula2>5</formula2>
    </dataValidation>
    <dataValidation type="whole" allowBlank="1" showErrorMessage="1" errorTitle="Dato inválido" error="Valor no permitido en imp_precio. Revise el diccionario." sqref="O3:O200" xr:uid="{00000000-0002-0000-0300-00000A000000}">
      <formula1>1</formula1>
      <formula2>5</formula2>
    </dataValidation>
    <dataValidation type="whole" allowBlank="1" showErrorMessage="1" errorTitle="Dato inválido" error="Valor no permitido en imp_ubicacion. Revise el diccionario." sqref="P3:P200" xr:uid="{00000000-0002-0000-0300-00000B000000}">
      <formula1>1</formula1>
      <formula2>5</formula2>
    </dataValidation>
    <dataValidation type="whole" allowBlank="1" showErrorMessage="1" errorTitle="Dato inválido" error="Valor no permitido en imp_redes. Revise el diccionario." sqref="Q3:Q200" xr:uid="{00000000-0002-0000-0300-00000C000000}">
      <formula1>1</formula1>
      <formula2>5</formula2>
    </dataValidation>
    <dataValidation type="whole" allowBlank="1" showErrorMessage="1" errorTitle="Dato inválido" error="Valor no permitido en per_ambiente. Revise el diccionario." sqref="S3:S200" xr:uid="{00000000-0002-0000-0300-00000E000000}">
      <formula1>1</formula1>
      <formula2>5</formula2>
    </dataValidation>
    <dataValidation type="whole" allowBlank="1" showErrorMessage="1" errorTitle="Dato inválido" error="Valor no permitido en per_distintivo. Revise el diccionario." sqref="T3:T200" xr:uid="{00000000-0002-0000-0300-00000F000000}">
      <formula1>1</formula1>
      <formula2>5</formula2>
    </dataValidation>
    <dataValidation type="whole" allowBlank="1" showErrorMessage="1" errorTitle="Dato inválido" error="Valor no permitido en per_origen. Revise el diccionario." sqref="U3:U200" xr:uid="{00000000-0002-0000-0300-000010000000}">
      <formula1>1</formula1>
      <formula2>5</formula2>
    </dataValidation>
    <dataValidation type="whole" allowBlank="1" showErrorMessage="1" errorTitle="Dato inválido" error="Valor no permitido en per_historia. Revise el diccionario." sqref="V3:V200" xr:uid="{00000000-0002-0000-0300-000011000000}">
      <formula1>1</formula1>
      <formula2>5</formula2>
    </dataValidation>
    <dataValidation type="whole" allowBlank="1" showErrorMessage="1" errorTitle="Dato inválido" error="Valor no permitido en per_calidad. Revise el diccionario." sqref="W3:W200" xr:uid="{00000000-0002-0000-0300-000012000000}">
      <formula1>1</formula1>
      <formula2>5</formula2>
    </dataValidation>
    <dataValidation type="whole" allowBlank="1" showErrorMessage="1" errorTitle="Dato inválido" error="Valor no permitido en per_atencion. Revise el diccionario." sqref="X3:X200" xr:uid="{00000000-0002-0000-0300-000013000000}">
      <formula1>1</formula1>
      <formula2>5</formula2>
    </dataValidation>
    <dataValidation type="list" allowBlank="1" showErrorMessage="1" errorTitle="Dato inválido" error="Valor no permitido en recuerda_dato. Revise el diccionario." sqref="Y3:Y200" xr:uid="{00000000-0002-0000-0300-000014000000}">
      <formula1>"0,1"</formula1>
      <formula2>0</formula2>
    </dataValidation>
    <dataValidation type="whole" allowBlank="1" showErrorMessage="1" errorTitle="Dato inválido" error="Valor no permitido en nps_recomienda. Revise el diccionario." sqref="AC3:AC200" xr:uid="{00000000-0002-0000-0300-000016000000}">
      <formula1>0</formula1>
      <formula2>10</formula2>
    </dataValidation>
    <dataValidation type="whole" allowBlank="1" showErrorMessage="1" errorTitle="Dato inválido" error="Valor no permitido en prob_volver. Revise el diccionario." sqref="AD3:AD200" xr:uid="{00000000-0002-0000-0300-000017000000}">
      <formula1>1</formula1>
      <formula2>5</formula2>
    </dataValidation>
    <dataValidation type="decimal" operator="greaterThanOrEqual" allowBlank="1" showErrorMessage="1" errorTitle="Dato inválido" error="Valor no permitido en gasto_hoy_cop. Revise el diccionario." sqref="AG3:AG200" xr:uid="{00000000-0002-0000-0300-00001A000000}">
      <formula1>0</formula1>
      <formula2>0</formula2>
    </dataValidation>
    <dataValidation type="decimal" operator="greaterThanOrEqual" allowBlank="1" showErrorMessage="1" errorTitle="Dato inválido" error="Valor no permitido en dap_max_capuchino. Revise el diccionario." sqref="AH3:AH200" xr:uid="{00000000-0002-0000-0300-00001B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errorTitle="Dato inválido" error="Valor no permitido en encuestador. Revise el diccionario." xr:uid="{00000000-0002-0000-0300-000000000000}">
          <x14:formula1>
            <xm:f>Listas!$F$2:$F$4</xm:f>
          </x14:formula1>
          <x14:formula2>
            <xm:f>0</xm:f>
          </x14:formula2>
          <xm:sqref>E3:E200</xm:sqref>
        </x14:dataValidation>
        <x14:dataValidation type="list" allowBlank="1" showErrorMessage="1" errorTitle="Dato inválido" error="Valor no permitido en freq_visita. Revise el diccionario." xr:uid="{00000000-0002-0000-0300-000002000000}">
          <x14:formula1>
            <xm:f>Listas!$G$2:$G$5</xm:f>
          </x14:formula1>
          <x14:formula2>
            <xm:f>0</xm:f>
          </x14:formula2>
          <xm:sqref>G3:G200</xm:sqref>
        </x14:dataValidation>
        <x14:dataValidation type="list" allowBlank="1" showErrorMessage="1" errorTitle="Dato inválido" error="Valor no permitido en motivo_visita. Revise el diccionario." xr:uid="{00000000-0002-0000-0300-000003000000}">
          <x14:formula1>
            <xm:f>Listas!$H$2:$H$6</xm:f>
          </x14:formula1>
          <x14:formula2>
            <xm:f>0</xm:f>
          </x14:formula2>
          <xm:sqref>H3:H200</xm:sqref>
        </x14:dataValidation>
        <x14:dataValidation type="list" allowBlank="1" showErrorMessage="1" errorTitle="Dato inválido" error="Valor no permitido en como_conocio. Revise el diccionario." xr:uid="{00000000-0002-0000-0300-000004000000}">
          <x14:formula1>
            <xm:f>Listas!$I$2:$I$6</xm:f>
          </x14:formula1>
          <x14:formula2>
            <xm:f>0</xm:f>
          </x14:formula2>
          <xm:sqref>I3:I200</xm:sqref>
        </x14:dataValidation>
        <x14:dataValidation type="list" allowBlank="1" showErrorMessage="1" errorTitle="Dato inválido" error="Valor no permitido en imp_primero. Revise el diccionario." xr:uid="{00000000-0002-0000-0300-00000D000000}">
          <x14:formula1>
            <xm:f>Listas!$J$2:$J$8</xm:f>
          </x14:formula1>
          <x14:formula2>
            <xm:f>0</xm:f>
          </x14:formula2>
          <xm:sqref>R3:R200</xm:sqref>
        </x14:dataValidation>
        <x14:dataValidation type="list" allowBlank="1" showErrorMessage="1" errorTitle="Dato inválido" error="Valor no permitido en diferencia_cod. Revise el diccionario." xr:uid="{00000000-0002-0000-0300-000015000000}">
          <x14:formula1>
            <xm:f>Listas!$Q$2:$Q$9</xm:f>
          </x14:formula1>
          <x14:formula2>
            <xm:f>0</xm:f>
          </x14:formula2>
          <xm:sqref>AB3:AB200</xm:sqref>
        </x14:dataValidation>
        <x14:dataValidation type="list" allowBlank="1" showErrorMessage="1" errorTitle="Dato inválido" error="Valor no permitido en n_otros_cafes. Revise el diccionario." xr:uid="{00000000-0002-0000-0300-000018000000}">
          <x14:formula1>
            <xm:f>Listas!$K$2:$K$5</xm:f>
          </x14:formula1>
          <x14:formula2>
            <xm:f>0</xm:f>
          </x14:formula2>
          <xm:sqref>AE3:AE200</xm:sqref>
        </x14:dataValidation>
        <x14:dataValidation type="list" allowBlank="1" showErrorMessage="1" errorTitle="Dato inválido" error="Valor no permitido en primera_opcion. Revise el diccionario." xr:uid="{00000000-0002-0000-0300-000019000000}">
          <x14:formula1>
            <xm:f>Listas!$L$2:$L$4</xm:f>
          </x14:formula1>
          <x14:formula2>
            <xm:f>0</xm:f>
          </x14:formula2>
          <xm:sqref>AF3:AF200</xm:sqref>
        </x14:dataValidation>
        <x14:dataValidation type="list" allowBlank="1" showErrorMessage="1" errorTitle="Dato inválido" error="Valor no permitido en dap_vs_otras. Revise el diccionario." xr:uid="{00000000-0002-0000-0300-00001C000000}">
          <x14:formula1>
            <xm:f>Listas!$M$2:$M$4</xm:f>
          </x14:formula1>
          <x14:formula2>
            <xm:f>0</xm:f>
          </x14:formula2>
          <xm:sqref>AI3:AI200</xm:sqref>
        </x14:dataValidation>
        <x14:dataValidation type="list" allowBlank="1" showErrorMessage="1" errorTitle="Dato inválido" error="Valor no permitido en edad_rango. Revise el diccionario." xr:uid="{00000000-0002-0000-0300-00001D000000}">
          <x14:formula1>
            <xm:f>Listas!$N$2:$N$6</xm:f>
          </x14:formula1>
          <x14:formula2>
            <xm:f>0</xm:f>
          </x14:formula2>
          <xm:sqref>AJ3:AJ200</xm:sqref>
        </x14:dataValidation>
        <x14:dataValidation type="list" allowBlank="1" showErrorMessage="1" errorTitle="Dato inválido" error="Valor no permitido en ocupacion. Revise el diccionario." xr:uid="{00000000-0002-0000-0300-00001E000000}">
          <x14:formula1>
            <xm:f>Listas!$O$2:$O$5</xm:f>
          </x14:formula1>
          <x14:formula2>
            <xm:f>0</xm:f>
          </x14:formula2>
          <xm:sqref>AK3:AK200</xm:sqref>
        </x14:dataValidation>
        <x14:dataValidation type="list" allowBlank="1" showErrorMessage="1" errorTitle="Dato inválido" error="Valor no permitido en relacion_zona. Revise el diccionario." xr:uid="{00000000-0002-0000-0300-00001F000000}">
          <x14:formula1>
            <xm:f>Listas!$P$2:$P$5</xm:f>
          </x14:formula1>
          <x14:formula2>
            <xm:f>0</xm:f>
          </x14:formula2>
          <xm:sqref>AL3:AL200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"/>
  <sheetViews>
    <sheetView zoomScaleNormal="100" workbookViewId="0"/>
  </sheetViews>
  <sheetFormatPr baseColWidth="10" defaultColWidth="8.7109375" defaultRowHeight="15" x14ac:dyDescent="0.25"/>
  <cols>
    <col min="1" max="8" width="15" customWidth="1"/>
    <col min="10" max="10" width="22" customWidth="1"/>
  </cols>
  <sheetData>
    <row r="1" spans="1:10" x14ac:dyDescent="0.25">
      <c r="A1" s="14" t="s">
        <v>12</v>
      </c>
      <c r="B1" s="14" t="s">
        <v>46</v>
      </c>
      <c r="C1" s="14" t="s">
        <v>91</v>
      </c>
      <c r="D1" s="14" t="s">
        <v>138</v>
      </c>
      <c r="E1" s="14" t="s">
        <v>139</v>
      </c>
      <c r="F1" s="14" t="s">
        <v>140</v>
      </c>
      <c r="G1" s="14" t="s">
        <v>141</v>
      </c>
      <c r="H1" s="14" t="s">
        <v>142</v>
      </c>
      <c r="J1" s="15" t="s">
        <v>143</v>
      </c>
    </row>
    <row r="2" spans="1:10" x14ac:dyDescent="0.25">
      <c r="A2" s="9" t="s">
        <v>83</v>
      </c>
      <c r="B2" s="10">
        <v>46340</v>
      </c>
      <c r="C2" s="9" t="s">
        <v>25</v>
      </c>
      <c r="D2" s="9">
        <v>14</v>
      </c>
      <c r="E2" s="9">
        <v>8</v>
      </c>
      <c r="F2" s="9">
        <v>4</v>
      </c>
      <c r="G2" s="9">
        <v>2</v>
      </c>
      <c r="H2" s="16" t="str">
        <f t="shared" ref="H2:H33" si="0">IF(D2="","",IF(D2=E2+F2+G2,"OK","Revisar"))</f>
        <v>OK</v>
      </c>
      <c r="J2" s="17" t="str">
        <f>IFERROR(SUM(E3:E59)/(SUM(D3:D59)-SUM(G3:G59)),"")</f>
        <v/>
      </c>
    </row>
    <row r="3" spans="1:10" x14ac:dyDescent="0.25">
      <c r="B3" s="18"/>
      <c r="H3" s="16" t="str">
        <f t="shared" si="0"/>
        <v/>
      </c>
      <c r="J3" s="6" t="s">
        <v>144</v>
      </c>
    </row>
    <row r="4" spans="1:10" x14ac:dyDescent="0.25">
      <c r="B4" s="18"/>
      <c r="H4" s="16" t="str">
        <f t="shared" si="0"/>
        <v/>
      </c>
    </row>
    <row r="5" spans="1:10" x14ac:dyDescent="0.25">
      <c r="B5" s="18"/>
      <c r="H5" s="16" t="str">
        <f t="shared" si="0"/>
        <v/>
      </c>
    </row>
    <row r="6" spans="1:10" x14ac:dyDescent="0.25">
      <c r="B6" s="18"/>
      <c r="H6" s="16" t="str">
        <f t="shared" si="0"/>
        <v/>
      </c>
    </row>
    <row r="7" spans="1:10" x14ac:dyDescent="0.25">
      <c r="B7" s="18"/>
      <c r="H7" s="16" t="str">
        <f t="shared" si="0"/>
        <v/>
      </c>
    </row>
    <row r="8" spans="1:10" x14ac:dyDescent="0.25">
      <c r="B8" s="18"/>
      <c r="H8" s="16" t="str">
        <f t="shared" si="0"/>
        <v/>
      </c>
    </row>
    <row r="9" spans="1:10" x14ac:dyDescent="0.25">
      <c r="B9" s="18"/>
      <c r="H9" s="16" t="str">
        <f t="shared" si="0"/>
        <v/>
      </c>
    </row>
    <row r="10" spans="1:10" x14ac:dyDescent="0.25">
      <c r="B10" s="18"/>
      <c r="H10" s="16" t="str">
        <f t="shared" si="0"/>
        <v/>
      </c>
    </row>
    <row r="11" spans="1:10" x14ac:dyDescent="0.25">
      <c r="B11" s="18"/>
      <c r="H11" s="16" t="str">
        <f t="shared" si="0"/>
        <v/>
      </c>
    </row>
    <row r="12" spans="1:10" x14ac:dyDescent="0.25">
      <c r="B12" s="18"/>
      <c r="H12" s="16" t="str">
        <f t="shared" si="0"/>
        <v/>
      </c>
    </row>
    <row r="13" spans="1:10" x14ac:dyDescent="0.25">
      <c r="B13" s="18"/>
      <c r="H13" s="16" t="str">
        <f t="shared" si="0"/>
        <v/>
      </c>
    </row>
    <row r="14" spans="1:10" x14ac:dyDescent="0.25">
      <c r="B14" s="18"/>
      <c r="H14" s="16" t="str">
        <f t="shared" si="0"/>
        <v/>
      </c>
    </row>
    <row r="15" spans="1:10" x14ac:dyDescent="0.25">
      <c r="B15" s="18"/>
      <c r="H15" s="16" t="str">
        <f t="shared" si="0"/>
        <v/>
      </c>
    </row>
    <row r="16" spans="1:10" x14ac:dyDescent="0.25">
      <c r="B16" s="18"/>
      <c r="H16" s="16" t="str">
        <f t="shared" si="0"/>
        <v/>
      </c>
    </row>
    <row r="17" spans="2:8" x14ac:dyDescent="0.25">
      <c r="B17" s="18"/>
      <c r="H17" s="16" t="str">
        <f t="shared" si="0"/>
        <v/>
      </c>
    </row>
    <row r="18" spans="2:8" x14ac:dyDescent="0.25">
      <c r="B18" s="18"/>
      <c r="H18" s="16" t="str">
        <f t="shared" si="0"/>
        <v/>
      </c>
    </row>
    <row r="19" spans="2:8" x14ac:dyDescent="0.25">
      <c r="B19" s="18"/>
      <c r="H19" s="16" t="str">
        <f t="shared" si="0"/>
        <v/>
      </c>
    </row>
    <row r="20" spans="2:8" x14ac:dyDescent="0.25">
      <c r="B20" s="18"/>
      <c r="H20" s="16" t="str">
        <f t="shared" si="0"/>
        <v/>
      </c>
    </row>
    <row r="21" spans="2:8" x14ac:dyDescent="0.25">
      <c r="B21" s="18"/>
      <c r="H21" s="16" t="str">
        <f t="shared" si="0"/>
        <v/>
      </c>
    </row>
    <row r="22" spans="2:8" x14ac:dyDescent="0.25">
      <c r="B22" s="18"/>
      <c r="H22" s="16" t="str">
        <f t="shared" si="0"/>
        <v/>
      </c>
    </row>
    <row r="23" spans="2:8" x14ac:dyDescent="0.25">
      <c r="B23" s="18"/>
      <c r="H23" s="16" t="str">
        <f t="shared" si="0"/>
        <v/>
      </c>
    </row>
    <row r="24" spans="2:8" x14ac:dyDescent="0.25">
      <c r="B24" s="18"/>
      <c r="H24" s="16" t="str">
        <f t="shared" si="0"/>
        <v/>
      </c>
    </row>
    <row r="25" spans="2:8" x14ac:dyDescent="0.25">
      <c r="B25" s="18"/>
      <c r="H25" s="16" t="str">
        <f t="shared" si="0"/>
        <v/>
      </c>
    </row>
    <row r="26" spans="2:8" x14ac:dyDescent="0.25">
      <c r="B26" s="18"/>
      <c r="H26" s="16" t="str">
        <f t="shared" si="0"/>
        <v/>
      </c>
    </row>
    <row r="27" spans="2:8" x14ac:dyDescent="0.25">
      <c r="B27" s="18"/>
      <c r="H27" s="16" t="str">
        <f t="shared" si="0"/>
        <v/>
      </c>
    </row>
    <row r="28" spans="2:8" x14ac:dyDescent="0.25">
      <c r="B28" s="18"/>
      <c r="H28" s="16" t="str">
        <f t="shared" si="0"/>
        <v/>
      </c>
    </row>
    <row r="29" spans="2:8" x14ac:dyDescent="0.25">
      <c r="B29" s="18"/>
      <c r="H29" s="16" t="str">
        <f t="shared" si="0"/>
        <v/>
      </c>
    </row>
    <row r="30" spans="2:8" x14ac:dyDescent="0.25">
      <c r="B30" s="18"/>
      <c r="H30" s="16" t="str">
        <f t="shared" si="0"/>
        <v/>
      </c>
    </row>
    <row r="31" spans="2:8" x14ac:dyDescent="0.25">
      <c r="B31" s="18"/>
      <c r="H31" s="16" t="str">
        <f t="shared" si="0"/>
        <v/>
      </c>
    </row>
    <row r="32" spans="2:8" x14ac:dyDescent="0.25">
      <c r="B32" s="18"/>
      <c r="H32" s="16" t="str">
        <f t="shared" si="0"/>
        <v/>
      </c>
    </row>
    <row r="33" spans="2:8" x14ac:dyDescent="0.25">
      <c r="B33" s="18"/>
      <c r="H33" s="16" t="str">
        <f t="shared" si="0"/>
        <v/>
      </c>
    </row>
    <row r="34" spans="2:8" x14ac:dyDescent="0.25">
      <c r="B34" s="18"/>
      <c r="H34" s="16" t="str">
        <f t="shared" ref="H34:H65" si="1">IF(D34="","",IF(D34=E34+F34+G34,"OK","Revisar"))</f>
        <v/>
      </c>
    </row>
    <row r="35" spans="2:8" x14ac:dyDescent="0.25">
      <c r="B35" s="18"/>
      <c r="H35" s="16" t="str">
        <f t="shared" si="1"/>
        <v/>
      </c>
    </row>
    <row r="36" spans="2:8" x14ac:dyDescent="0.25">
      <c r="B36" s="18"/>
      <c r="H36" s="16" t="str">
        <f t="shared" si="1"/>
        <v/>
      </c>
    </row>
    <row r="37" spans="2:8" x14ac:dyDescent="0.25">
      <c r="B37" s="18"/>
      <c r="H37" s="16" t="str">
        <f t="shared" si="1"/>
        <v/>
      </c>
    </row>
    <row r="38" spans="2:8" x14ac:dyDescent="0.25">
      <c r="B38" s="18"/>
      <c r="H38" s="16" t="str">
        <f t="shared" si="1"/>
        <v/>
      </c>
    </row>
    <row r="39" spans="2:8" x14ac:dyDescent="0.25">
      <c r="B39" s="18"/>
      <c r="H39" s="16" t="str">
        <f t="shared" si="1"/>
        <v/>
      </c>
    </row>
    <row r="40" spans="2:8" x14ac:dyDescent="0.25">
      <c r="B40" s="18"/>
      <c r="H40" s="16" t="str">
        <f t="shared" si="1"/>
        <v/>
      </c>
    </row>
    <row r="41" spans="2:8" x14ac:dyDescent="0.25">
      <c r="B41" s="18"/>
      <c r="H41" s="16" t="str">
        <f t="shared" si="1"/>
        <v/>
      </c>
    </row>
    <row r="42" spans="2:8" x14ac:dyDescent="0.25">
      <c r="B42" s="18"/>
      <c r="H42" s="16" t="str">
        <f t="shared" si="1"/>
        <v/>
      </c>
    </row>
    <row r="43" spans="2:8" x14ac:dyDescent="0.25">
      <c r="B43" s="18"/>
      <c r="H43" s="16" t="str">
        <f t="shared" si="1"/>
        <v/>
      </c>
    </row>
    <row r="44" spans="2:8" x14ac:dyDescent="0.25">
      <c r="B44" s="18"/>
      <c r="H44" s="16" t="str">
        <f t="shared" si="1"/>
        <v/>
      </c>
    </row>
    <row r="45" spans="2:8" x14ac:dyDescent="0.25">
      <c r="B45" s="18"/>
      <c r="H45" s="16" t="str">
        <f t="shared" si="1"/>
        <v/>
      </c>
    </row>
    <row r="46" spans="2:8" x14ac:dyDescent="0.25">
      <c r="B46" s="18"/>
      <c r="H46" s="16" t="str">
        <f t="shared" si="1"/>
        <v/>
      </c>
    </row>
    <row r="47" spans="2:8" x14ac:dyDescent="0.25">
      <c r="B47" s="18"/>
      <c r="H47" s="16" t="str">
        <f t="shared" si="1"/>
        <v/>
      </c>
    </row>
    <row r="48" spans="2:8" x14ac:dyDescent="0.25">
      <c r="B48" s="18"/>
      <c r="H48" s="16" t="str">
        <f t="shared" si="1"/>
        <v/>
      </c>
    </row>
    <row r="49" spans="2:8" x14ac:dyDescent="0.25">
      <c r="B49" s="18"/>
      <c r="H49" s="16" t="str">
        <f t="shared" si="1"/>
        <v/>
      </c>
    </row>
    <row r="50" spans="2:8" x14ac:dyDescent="0.25">
      <c r="B50" s="18"/>
      <c r="H50" s="16" t="str">
        <f t="shared" si="1"/>
        <v/>
      </c>
    </row>
    <row r="51" spans="2:8" x14ac:dyDescent="0.25">
      <c r="B51" s="18"/>
      <c r="H51" s="16" t="str">
        <f t="shared" si="1"/>
        <v/>
      </c>
    </row>
    <row r="52" spans="2:8" x14ac:dyDescent="0.25">
      <c r="B52" s="18"/>
      <c r="H52" s="16" t="str">
        <f t="shared" si="1"/>
        <v/>
      </c>
    </row>
    <row r="53" spans="2:8" x14ac:dyDescent="0.25">
      <c r="B53" s="18"/>
      <c r="H53" s="16" t="str">
        <f t="shared" si="1"/>
        <v/>
      </c>
    </row>
    <row r="54" spans="2:8" x14ac:dyDescent="0.25">
      <c r="B54" s="18"/>
      <c r="H54" s="16" t="str">
        <f t="shared" si="1"/>
        <v/>
      </c>
    </row>
    <row r="55" spans="2:8" x14ac:dyDescent="0.25">
      <c r="B55" s="18"/>
      <c r="H55" s="16" t="str">
        <f t="shared" si="1"/>
        <v/>
      </c>
    </row>
    <row r="56" spans="2:8" x14ac:dyDescent="0.25">
      <c r="B56" s="18"/>
      <c r="H56" s="16" t="str">
        <f t="shared" si="1"/>
        <v/>
      </c>
    </row>
    <row r="57" spans="2:8" x14ac:dyDescent="0.25">
      <c r="B57" s="18"/>
      <c r="H57" s="16" t="str">
        <f t="shared" si="1"/>
        <v/>
      </c>
    </row>
    <row r="58" spans="2:8" x14ac:dyDescent="0.25">
      <c r="B58" s="18"/>
      <c r="H58" s="16" t="str">
        <f t="shared" si="1"/>
        <v/>
      </c>
    </row>
    <row r="59" spans="2:8" x14ac:dyDescent="0.25">
      <c r="B59" s="18"/>
      <c r="H59" s="16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Listas!$F$2:$F$4</xm:f>
          </x14:formula1>
          <x14:formula2>
            <xm:f>0</xm:f>
          </x14:formula2>
          <xm:sqref>C3:C59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7" width="17" customWidth="1"/>
  </cols>
  <sheetData>
    <row r="1" spans="1:7" x14ac:dyDescent="0.25">
      <c r="A1" s="14" t="s">
        <v>12</v>
      </c>
      <c r="B1" s="14" t="s">
        <v>145</v>
      </c>
      <c r="C1" s="14" t="s">
        <v>146</v>
      </c>
      <c r="D1" s="14" t="s">
        <v>147</v>
      </c>
      <c r="E1" s="14" t="s">
        <v>148</v>
      </c>
      <c r="F1" s="14" t="s">
        <v>65</v>
      </c>
      <c r="G1" s="14" t="s">
        <v>66</v>
      </c>
    </row>
    <row r="2" spans="1:7" x14ac:dyDescent="0.25">
      <c r="A2" s="5" t="str">
        <f>Muestra_Cafes!A2</f>
        <v>C01</v>
      </c>
      <c r="B2" s="5">
        <f>COUNTIF(Encuestas!$B$3:$B$200,A2)</f>
        <v>0</v>
      </c>
      <c r="C2" s="5">
        <f>Muestra_Cafes!J2</f>
        <v>10</v>
      </c>
      <c r="D2" s="19">
        <f t="shared" ref="D2:D14" si="0">IF(C2=0,"",MIN(1,B2/C2))</f>
        <v>0</v>
      </c>
      <c r="E2" s="5" t="str">
        <f>IF(COUNTIF(Ficha_Cafe!$A$3:$A$30,A2)&gt;0,"Sí","No")</f>
        <v>No</v>
      </c>
      <c r="F2" s="5" t="str">
        <f>IFERROR(INDEX(Ficha_Cafe!$AB$3:$AB$30,MATCH(A2,Ficha_Cafe!$A$3:$A$30,0)),"")</f>
        <v/>
      </c>
      <c r="G2" s="5" t="str">
        <f>IFERROR(INDEX(Ficha_Cafe!$AC$3:$AC$30,MATCH(A2,Ficha_Cafe!$A$3:$A$30,0)),"")</f>
        <v/>
      </c>
    </row>
    <row r="3" spans="1:7" x14ac:dyDescent="0.25">
      <c r="A3" s="5" t="str">
        <f>Muestra_Cafes!A3</f>
        <v>C02</v>
      </c>
      <c r="B3" s="5">
        <f>COUNTIF(Encuestas!$B$3:$B$200,A3)</f>
        <v>0</v>
      </c>
      <c r="C3" s="5">
        <f>Muestra_Cafes!J3</f>
        <v>10</v>
      </c>
      <c r="D3" s="19">
        <f t="shared" si="0"/>
        <v>0</v>
      </c>
      <c r="E3" s="5" t="str">
        <f>IF(COUNTIF(Ficha_Cafe!$A$3:$A$30,A3)&gt;0,"Sí","No")</f>
        <v>No</v>
      </c>
      <c r="F3" s="5" t="str">
        <f>IFERROR(INDEX(Ficha_Cafe!$AB$3:$AB$30,MATCH(A3,Ficha_Cafe!$A$3:$A$30,0)),"")</f>
        <v/>
      </c>
      <c r="G3" s="5" t="str">
        <f>IFERROR(INDEX(Ficha_Cafe!$AC$3:$AC$30,MATCH(A3,Ficha_Cafe!$A$3:$A$30,0)),"")</f>
        <v/>
      </c>
    </row>
    <row r="4" spans="1:7" x14ac:dyDescent="0.25">
      <c r="A4" s="5" t="str">
        <f>Muestra_Cafes!A4</f>
        <v>C03</v>
      </c>
      <c r="B4" s="5">
        <f>COUNTIF(Encuestas!$B$3:$B$200,A4)</f>
        <v>0</v>
      </c>
      <c r="C4" s="5">
        <f>Muestra_Cafes!J4</f>
        <v>10</v>
      </c>
      <c r="D4" s="19">
        <f t="shared" si="0"/>
        <v>0</v>
      </c>
      <c r="E4" s="5" t="str">
        <f>IF(COUNTIF(Ficha_Cafe!$A$3:$A$30,A4)&gt;0,"Sí","No")</f>
        <v>No</v>
      </c>
      <c r="F4" s="5" t="str">
        <f>IFERROR(INDEX(Ficha_Cafe!$AB$3:$AB$30,MATCH(A4,Ficha_Cafe!$A$3:$A$30,0)),"")</f>
        <v/>
      </c>
      <c r="G4" s="5" t="str">
        <f>IFERROR(INDEX(Ficha_Cafe!$AC$3:$AC$30,MATCH(A4,Ficha_Cafe!$A$3:$A$30,0)),"")</f>
        <v/>
      </c>
    </row>
    <row r="5" spans="1:7" x14ac:dyDescent="0.25">
      <c r="A5" s="5" t="str">
        <f>Muestra_Cafes!A5</f>
        <v>C04</v>
      </c>
      <c r="B5" s="5">
        <f>COUNTIF(Encuestas!$B$3:$B$200,A5)</f>
        <v>0</v>
      </c>
      <c r="C5" s="5">
        <f>Muestra_Cafes!J5</f>
        <v>10</v>
      </c>
      <c r="D5" s="19">
        <f t="shared" si="0"/>
        <v>0</v>
      </c>
      <c r="E5" s="5" t="str">
        <f>IF(COUNTIF(Ficha_Cafe!$A$3:$A$30,A5)&gt;0,"Sí","No")</f>
        <v>No</v>
      </c>
      <c r="F5" s="5" t="str">
        <f>IFERROR(INDEX(Ficha_Cafe!$AB$3:$AB$30,MATCH(A5,Ficha_Cafe!$A$3:$A$30,0)),"")</f>
        <v/>
      </c>
      <c r="G5" s="5" t="str">
        <f>IFERROR(INDEX(Ficha_Cafe!$AC$3:$AC$30,MATCH(A5,Ficha_Cafe!$A$3:$A$30,0)),"")</f>
        <v/>
      </c>
    </row>
    <row r="6" spans="1:7" x14ac:dyDescent="0.25">
      <c r="A6" s="5" t="str">
        <f>Muestra_Cafes!A6</f>
        <v>C05</v>
      </c>
      <c r="B6" s="5">
        <f>COUNTIF(Encuestas!$B$3:$B$200,A6)</f>
        <v>0</v>
      </c>
      <c r="C6" s="5">
        <f>Muestra_Cafes!J6</f>
        <v>10</v>
      </c>
      <c r="D6" s="19">
        <f t="shared" si="0"/>
        <v>0</v>
      </c>
      <c r="E6" s="5" t="str">
        <f>IF(COUNTIF(Ficha_Cafe!$A$3:$A$30,A6)&gt;0,"Sí","No")</f>
        <v>No</v>
      </c>
      <c r="F6" s="5" t="str">
        <f>IFERROR(INDEX(Ficha_Cafe!$AB$3:$AB$30,MATCH(A6,Ficha_Cafe!$A$3:$A$30,0)),"")</f>
        <v/>
      </c>
      <c r="G6" s="5" t="str">
        <f>IFERROR(INDEX(Ficha_Cafe!$AC$3:$AC$30,MATCH(A6,Ficha_Cafe!$A$3:$A$30,0)),"")</f>
        <v/>
      </c>
    </row>
    <row r="7" spans="1:7" x14ac:dyDescent="0.25">
      <c r="A7" s="5" t="str">
        <f>Muestra_Cafes!A7</f>
        <v>C06</v>
      </c>
      <c r="B7" s="5">
        <f>COUNTIF(Encuestas!$B$3:$B$200,A7)</f>
        <v>0</v>
      </c>
      <c r="C7" s="5">
        <f>Muestra_Cafes!J7</f>
        <v>10</v>
      </c>
      <c r="D7" s="19">
        <f t="shared" si="0"/>
        <v>0</v>
      </c>
      <c r="E7" s="5" t="str">
        <f>IF(COUNTIF(Ficha_Cafe!$A$3:$A$30,A7)&gt;0,"Sí","No")</f>
        <v>No</v>
      </c>
      <c r="F7" s="5" t="str">
        <f>IFERROR(INDEX(Ficha_Cafe!$AB$3:$AB$30,MATCH(A7,Ficha_Cafe!$A$3:$A$30,0)),"")</f>
        <v/>
      </c>
      <c r="G7" s="5" t="str">
        <f>IFERROR(INDEX(Ficha_Cafe!$AC$3:$AC$30,MATCH(A7,Ficha_Cafe!$A$3:$A$30,0)),"")</f>
        <v/>
      </c>
    </row>
    <row r="8" spans="1:7" x14ac:dyDescent="0.25">
      <c r="A8" s="5" t="str">
        <f>Muestra_Cafes!A8</f>
        <v>C07</v>
      </c>
      <c r="B8" s="5">
        <f>COUNTIF(Encuestas!$B$3:$B$200,A8)</f>
        <v>0</v>
      </c>
      <c r="C8" s="5">
        <f>Muestra_Cafes!J8</f>
        <v>10</v>
      </c>
      <c r="D8" s="19">
        <f t="shared" si="0"/>
        <v>0</v>
      </c>
      <c r="E8" s="5" t="str">
        <f>IF(COUNTIF(Ficha_Cafe!$A$3:$A$30,A8)&gt;0,"Sí","No")</f>
        <v>No</v>
      </c>
      <c r="F8" s="5" t="str">
        <f>IFERROR(INDEX(Ficha_Cafe!$AB$3:$AB$30,MATCH(A8,Ficha_Cafe!$A$3:$A$30,0)),"")</f>
        <v/>
      </c>
      <c r="G8" s="5" t="str">
        <f>IFERROR(INDEX(Ficha_Cafe!$AC$3:$AC$30,MATCH(A8,Ficha_Cafe!$A$3:$A$30,0)),"")</f>
        <v/>
      </c>
    </row>
    <row r="9" spans="1:7" x14ac:dyDescent="0.25">
      <c r="A9" s="5" t="str">
        <f>Muestra_Cafes!A9</f>
        <v>C08</v>
      </c>
      <c r="B9" s="5">
        <f>COUNTIF(Encuestas!$B$3:$B$200,A9)</f>
        <v>0</v>
      </c>
      <c r="C9" s="5">
        <f>Muestra_Cafes!J9</f>
        <v>10</v>
      </c>
      <c r="D9" s="19">
        <f t="shared" si="0"/>
        <v>0</v>
      </c>
      <c r="E9" s="5" t="str">
        <f>IF(COUNTIF(Ficha_Cafe!$A$3:$A$30,A9)&gt;0,"Sí","No")</f>
        <v>No</v>
      </c>
      <c r="F9" s="5" t="str">
        <f>IFERROR(INDEX(Ficha_Cafe!$AB$3:$AB$30,MATCH(A9,Ficha_Cafe!$A$3:$A$30,0)),"")</f>
        <v/>
      </c>
      <c r="G9" s="5" t="str">
        <f>IFERROR(INDEX(Ficha_Cafe!$AC$3:$AC$30,MATCH(A9,Ficha_Cafe!$A$3:$A$30,0)),"")</f>
        <v/>
      </c>
    </row>
    <row r="10" spans="1:7" x14ac:dyDescent="0.25">
      <c r="A10" s="5" t="e">
        <f>Muestra_Cafes!#REF!</f>
        <v>#REF!</v>
      </c>
      <c r="B10" s="5">
        <f>COUNTIF(Encuestas!$B$3:$B$200,A10)</f>
        <v>0</v>
      </c>
      <c r="C10" s="5" t="e">
        <f>Muestra_Cafes!#REF!</f>
        <v>#REF!</v>
      </c>
      <c r="D10" s="19" t="e">
        <f t="shared" si="0"/>
        <v>#REF!</v>
      </c>
      <c r="E10" s="5" t="str">
        <f>IF(COUNTIF(Ficha_Cafe!$A$3:$A$30,A10)&gt;0,"Sí","No")</f>
        <v>No</v>
      </c>
      <c r="F10" s="5" t="str">
        <f>IFERROR(INDEX(Ficha_Cafe!$AB$3:$AB$30,MATCH(A10,Ficha_Cafe!$A$3:$A$30,0)),"")</f>
        <v/>
      </c>
      <c r="G10" s="5" t="str">
        <f>IFERROR(INDEX(Ficha_Cafe!$AC$3:$AC$30,MATCH(A10,Ficha_Cafe!$A$3:$A$30,0)),"")</f>
        <v/>
      </c>
    </row>
    <row r="11" spans="1:7" x14ac:dyDescent="0.25">
      <c r="A11" s="5" t="e">
        <f>Muestra_Cafes!#REF!</f>
        <v>#REF!</v>
      </c>
      <c r="B11" s="5">
        <f>COUNTIF(Encuestas!$B$3:$B$200,A11)</f>
        <v>0</v>
      </c>
      <c r="C11" s="5" t="e">
        <f>Muestra_Cafes!#REF!</f>
        <v>#REF!</v>
      </c>
      <c r="D11" s="19" t="e">
        <f t="shared" si="0"/>
        <v>#REF!</v>
      </c>
      <c r="E11" s="5" t="str">
        <f>IF(COUNTIF(Ficha_Cafe!$A$3:$A$30,A11)&gt;0,"Sí","No")</f>
        <v>No</v>
      </c>
      <c r="F11" s="5" t="str">
        <f>IFERROR(INDEX(Ficha_Cafe!$AB$3:$AB$30,MATCH(A11,Ficha_Cafe!$A$3:$A$30,0)),"")</f>
        <v/>
      </c>
      <c r="G11" s="5" t="str">
        <f>IFERROR(INDEX(Ficha_Cafe!$AC$3:$AC$30,MATCH(A11,Ficha_Cafe!$A$3:$A$30,0)),"")</f>
        <v/>
      </c>
    </row>
    <row r="12" spans="1:7" x14ac:dyDescent="0.25">
      <c r="A12" s="5" t="e">
        <f>Muestra_Cafes!#REF!</f>
        <v>#REF!</v>
      </c>
      <c r="B12" s="5">
        <f>COUNTIF(Encuestas!$B$3:$B$200,A12)</f>
        <v>0</v>
      </c>
      <c r="C12" s="5" t="e">
        <f>Muestra_Cafes!#REF!</f>
        <v>#REF!</v>
      </c>
      <c r="D12" s="19" t="e">
        <f t="shared" si="0"/>
        <v>#REF!</v>
      </c>
      <c r="E12" s="5" t="str">
        <f>IF(COUNTIF(Ficha_Cafe!$A$3:$A$30,A12)&gt;0,"Sí","No")</f>
        <v>No</v>
      </c>
      <c r="F12" s="5" t="str">
        <f>IFERROR(INDEX(Ficha_Cafe!$AB$3:$AB$30,MATCH(A12,Ficha_Cafe!$A$3:$A$30,0)),"")</f>
        <v/>
      </c>
      <c r="G12" s="5" t="str">
        <f>IFERROR(INDEX(Ficha_Cafe!$AC$3:$AC$30,MATCH(A12,Ficha_Cafe!$A$3:$A$30,0)),"")</f>
        <v/>
      </c>
    </row>
    <row r="13" spans="1:7" x14ac:dyDescent="0.25">
      <c r="A13" s="5" t="e">
        <f>Muestra_Cafes!#REF!</f>
        <v>#REF!</v>
      </c>
      <c r="B13" s="5">
        <f>COUNTIF(Encuestas!$B$3:$B$200,A13)</f>
        <v>0</v>
      </c>
      <c r="C13" s="5" t="e">
        <f>Muestra_Cafes!#REF!</f>
        <v>#REF!</v>
      </c>
      <c r="D13" s="19" t="e">
        <f t="shared" si="0"/>
        <v>#REF!</v>
      </c>
      <c r="E13" s="5" t="str">
        <f>IF(COUNTIF(Ficha_Cafe!$A$3:$A$30,A13)&gt;0,"Sí","No")</f>
        <v>No</v>
      </c>
      <c r="F13" s="5" t="str">
        <f>IFERROR(INDEX(Ficha_Cafe!$AB$3:$AB$30,MATCH(A13,Ficha_Cafe!$A$3:$A$30,0)),"")</f>
        <v/>
      </c>
      <c r="G13" s="5" t="str">
        <f>IFERROR(INDEX(Ficha_Cafe!$AC$3:$AC$30,MATCH(A13,Ficha_Cafe!$A$3:$A$30,0)),"")</f>
        <v/>
      </c>
    </row>
    <row r="14" spans="1:7" x14ac:dyDescent="0.25">
      <c r="A14" s="15" t="s">
        <v>149</v>
      </c>
      <c r="B14" s="15">
        <f>SUM(B2:B13)</f>
        <v>0</v>
      </c>
      <c r="C14" s="15" t="e">
        <f>SUM(C2:C13)</f>
        <v>#REF!</v>
      </c>
      <c r="D14" s="20" t="e">
        <f t="shared" si="0"/>
        <v>#REF!</v>
      </c>
      <c r="E14" s="15" t="str">
        <f>COUNTIF(E2:E13,"Sí")&amp;" de 12"</f>
        <v>0 de 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zoomScaleNormal="100" workbookViewId="0"/>
  </sheetViews>
  <sheetFormatPr baseColWidth="10" defaultColWidth="8.7109375" defaultRowHeight="15" x14ac:dyDescent="0.25"/>
  <cols>
    <col min="1" max="1" width="14" customWidth="1"/>
    <col min="2" max="2" width="16" customWidth="1"/>
    <col min="3" max="3" width="10" customWidth="1"/>
    <col min="4" max="4" width="24" customWidth="1"/>
    <col min="5" max="6" width="40" customWidth="1"/>
    <col min="7" max="7" width="16" customWidth="1"/>
  </cols>
  <sheetData>
    <row r="1" spans="1:7" x14ac:dyDescent="0.25">
      <c r="A1" s="15" t="s">
        <v>150</v>
      </c>
    </row>
    <row r="2" spans="1:7" ht="26.25" x14ac:dyDescent="0.25">
      <c r="A2" s="4" t="s">
        <v>46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</row>
    <row r="3" spans="1:7" x14ac:dyDescent="0.25">
      <c r="A3" s="10">
        <v>46333</v>
      </c>
      <c r="B3" s="9" t="s">
        <v>43</v>
      </c>
      <c r="C3" s="9" t="s">
        <v>25</v>
      </c>
      <c r="D3" s="9" t="s">
        <v>106</v>
      </c>
      <c r="E3" s="9" t="s">
        <v>157</v>
      </c>
      <c r="F3" s="9" t="s">
        <v>158</v>
      </c>
      <c r="G3" s="9" t="s">
        <v>159</v>
      </c>
    </row>
    <row r="16" spans="1:7" x14ac:dyDescent="0.25">
      <c r="A16" s="15" t="s">
        <v>160</v>
      </c>
    </row>
    <row r="17" spans="1:5" ht="26.25" x14ac:dyDescent="0.25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</row>
    <row r="18" spans="1:5" x14ac:dyDescent="0.25">
      <c r="A18" s="5" t="s">
        <v>49</v>
      </c>
      <c r="B18" s="5"/>
      <c r="C18" s="5"/>
      <c r="D18" s="5"/>
      <c r="E18" s="16" t="str">
        <f t="shared" ref="E18:E33" si="0">IF(COUNT(B18:D18)&lt;3,"",IF(AND(B18=C18,C18=D18),1,0))</f>
        <v/>
      </c>
    </row>
    <row r="19" spans="1:5" x14ac:dyDescent="0.25">
      <c r="A19" s="5" t="s">
        <v>50</v>
      </c>
      <c r="B19" s="5"/>
      <c r="C19" s="5"/>
      <c r="D19" s="5"/>
      <c r="E19" s="16" t="str">
        <f t="shared" si="0"/>
        <v/>
      </c>
    </row>
    <row r="20" spans="1:5" x14ac:dyDescent="0.25">
      <c r="A20" s="5" t="s">
        <v>51</v>
      </c>
      <c r="B20" s="5"/>
      <c r="C20" s="5"/>
      <c r="D20" s="5"/>
      <c r="E20" s="16" t="str">
        <f t="shared" si="0"/>
        <v/>
      </c>
    </row>
    <row r="21" spans="1:5" x14ac:dyDescent="0.25">
      <c r="A21" s="5" t="s">
        <v>52</v>
      </c>
      <c r="B21" s="5"/>
      <c r="C21" s="5"/>
      <c r="D21" s="5"/>
      <c r="E21" s="16" t="str">
        <f t="shared" si="0"/>
        <v/>
      </c>
    </row>
    <row r="22" spans="1:5" x14ac:dyDescent="0.25">
      <c r="A22" s="5" t="s">
        <v>53</v>
      </c>
      <c r="B22" s="5"/>
      <c r="C22" s="5"/>
      <c r="D22" s="5"/>
      <c r="E22" s="16" t="str">
        <f t="shared" si="0"/>
        <v/>
      </c>
    </row>
    <row r="23" spans="1:5" x14ac:dyDescent="0.25">
      <c r="A23" s="5" t="s">
        <v>54</v>
      </c>
      <c r="B23" s="5"/>
      <c r="C23" s="5"/>
      <c r="D23" s="5"/>
      <c r="E23" s="16" t="str">
        <f t="shared" si="0"/>
        <v/>
      </c>
    </row>
    <row r="24" spans="1:5" x14ac:dyDescent="0.25">
      <c r="A24" s="5" t="s">
        <v>55</v>
      </c>
      <c r="B24" s="5"/>
      <c r="C24" s="5"/>
      <c r="D24" s="5"/>
      <c r="E24" s="16" t="str">
        <f t="shared" si="0"/>
        <v/>
      </c>
    </row>
    <row r="25" spans="1:5" x14ac:dyDescent="0.25">
      <c r="A25" s="5" t="s">
        <v>56</v>
      </c>
      <c r="B25" s="5"/>
      <c r="C25" s="5"/>
      <c r="D25" s="5"/>
      <c r="E25" s="16" t="str">
        <f t="shared" si="0"/>
        <v/>
      </c>
    </row>
    <row r="26" spans="1:5" x14ac:dyDescent="0.25">
      <c r="A26" s="5" t="s">
        <v>57</v>
      </c>
      <c r="B26" s="5"/>
      <c r="C26" s="5"/>
      <c r="D26" s="5"/>
      <c r="E26" s="16" t="str">
        <f t="shared" si="0"/>
        <v/>
      </c>
    </row>
    <row r="27" spans="1:5" x14ac:dyDescent="0.25">
      <c r="A27" s="5" t="s">
        <v>58</v>
      </c>
      <c r="B27" s="5"/>
      <c r="C27" s="5"/>
      <c r="D27" s="5"/>
      <c r="E27" s="16" t="str">
        <f t="shared" si="0"/>
        <v/>
      </c>
    </row>
    <row r="28" spans="1:5" x14ac:dyDescent="0.25">
      <c r="A28" s="5" t="s">
        <v>59</v>
      </c>
      <c r="B28" s="5"/>
      <c r="C28" s="5"/>
      <c r="D28" s="5"/>
      <c r="E28" s="16" t="str">
        <f t="shared" si="0"/>
        <v/>
      </c>
    </row>
    <row r="29" spans="1:5" x14ac:dyDescent="0.25">
      <c r="A29" s="5" t="s">
        <v>60</v>
      </c>
      <c r="B29" s="5"/>
      <c r="C29" s="5"/>
      <c r="D29" s="5"/>
      <c r="E29" s="16" t="str">
        <f t="shared" si="0"/>
        <v/>
      </c>
    </row>
    <row r="30" spans="1:5" x14ac:dyDescent="0.25">
      <c r="A30" s="5" t="s">
        <v>61</v>
      </c>
      <c r="B30" s="5"/>
      <c r="C30" s="5"/>
      <c r="D30" s="5"/>
      <c r="E30" s="16" t="str">
        <f t="shared" si="0"/>
        <v/>
      </c>
    </row>
    <row r="31" spans="1:5" x14ac:dyDescent="0.25">
      <c r="A31" s="5" t="s">
        <v>62</v>
      </c>
      <c r="B31" s="5"/>
      <c r="C31" s="5"/>
      <c r="D31" s="5"/>
      <c r="E31" s="16" t="str">
        <f t="shared" si="0"/>
        <v/>
      </c>
    </row>
    <row r="32" spans="1:5" x14ac:dyDescent="0.25">
      <c r="A32" s="5" t="s">
        <v>63</v>
      </c>
      <c r="B32" s="5"/>
      <c r="C32" s="5"/>
      <c r="D32" s="5"/>
      <c r="E32" s="16" t="str">
        <f t="shared" si="0"/>
        <v/>
      </c>
    </row>
    <row r="33" spans="1:5" x14ac:dyDescent="0.25">
      <c r="A33" s="5" t="s">
        <v>64</v>
      </c>
      <c r="B33" s="5"/>
      <c r="C33" s="5"/>
      <c r="D33" s="5"/>
      <c r="E33" s="16" t="str">
        <f t="shared" si="0"/>
        <v/>
      </c>
    </row>
    <row r="34" spans="1:5" x14ac:dyDescent="0.25">
      <c r="A34" s="15" t="s">
        <v>166</v>
      </c>
      <c r="E34" s="20" t="str">
        <f>IFERROR(AVERAGE(E18:E33),"")</f>
        <v/>
      </c>
    </row>
    <row r="35" spans="1:5" x14ac:dyDescent="0.25">
      <c r="A35" s="6" t="s">
        <v>167</v>
      </c>
    </row>
  </sheetData>
  <dataValidations count="1">
    <dataValidation type="list" allowBlank="1" sqref="B18:D33" xr:uid="{00000000-0002-0000-0600-000000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2" customWidth="1"/>
    <col min="2" max="2" width="12" customWidth="1"/>
    <col min="3" max="3" width="30" customWidth="1"/>
    <col min="4" max="4" width="70" customWidth="1"/>
    <col min="5" max="5" width="12" customWidth="1"/>
    <col min="6" max="6" width="42" customWidth="1"/>
    <col min="7" max="7" width="12" customWidth="1"/>
    <col min="8" max="8" width="52" customWidth="1"/>
  </cols>
  <sheetData>
    <row r="1" spans="1:8" x14ac:dyDescent="0.25">
      <c r="A1" s="4" t="s">
        <v>168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174</v>
      </c>
      <c r="H1" s="4" t="s">
        <v>175</v>
      </c>
    </row>
    <row r="2" spans="1:8" x14ac:dyDescent="0.25">
      <c r="A2" s="21" t="s">
        <v>12</v>
      </c>
      <c r="B2" s="21" t="s">
        <v>176</v>
      </c>
      <c r="C2" s="21" t="s">
        <v>177</v>
      </c>
      <c r="D2" s="21" t="s">
        <v>178</v>
      </c>
      <c r="E2" s="21" t="s">
        <v>179</v>
      </c>
      <c r="F2" s="21" t="s">
        <v>180</v>
      </c>
      <c r="G2" s="21" t="s">
        <v>181</v>
      </c>
      <c r="H2" s="21" t="s">
        <v>182</v>
      </c>
    </row>
    <row r="3" spans="1:8" x14ac:dyDescent="0.25">
      <c r="A3" s="21" t="s">
        <v>14</v>
      </c>
      <c r="B3" s="21" t="s">
        <v>176</v>
      </c>
      <c r="C3" s="21" t="s">
        <v>177</v>
      </c>
      <c r="D3" s="21" t="s">
        <v>183</v>
      </c>
      <c r="E3" s="21" t="s">
        <v>179</v>
      </c>
      <c r="F3" s="21" t="s">
        <v>180</v>
      </c>
      <c r="G3" s="21" t="s">
        <v>181</v>
      </c>
      <c r="H3" s="21" t="s">
        <v>184</v>
      </c>
    </row>
    <row r="4" spans="1:8" ht="25.5" x14ac:dyDescent="0.25">
      <c r="A4" s="21" t="s">
        <v>15</v>
      </c>
      <c r="B4" s="21" t="s">
        <v>176</v>
      </c>
      <c r="C4" s="21" t="s">
        <v>177</v>
      </c>
      <c r="D4" s="21" t="s">
        <v>185</v>
      </c>
      <c r="E4" s="21" t="s">
        <v>179</v>
      </c>
      <c r="F4" s="21" t="s">
        <v>180</v>
      </c>
      <c r="G4" s="21" t="s">
        <v>181</v>
      </c>
      <c r="H4" s="21" t="s">
        <v>186</v>
      </c>
    </row>
    <row r="5" spans="1:8" ht="25.5" x14ac:dyDescent="0.25">
      <c r="A5" s="21" t="s">
        <v>45</v>
      </c>
      <c r="B5" s="21" t="s">
        <v>176</v>
      </c>
      <c r="C5" s="21" t="s">
        <v>177</v>
      </c>
      <c r="D5" s="21" t="s">
        <v>187</v>
      </c>
      <c r="E5" s="21" t="s">
        <v>188</v>
      </c>
      <c r="F5" s="21" t="s">
        <v>189</v>
      </c>
      <c r="G5" s="21" t="s">
        <v>181</v>
      </c>
      <c r="H5" s="21" t="s">
        <v>190</v>
      </c>
    </row>
    <row r="6" spans="1:8" ht="25.5" x14ac:dyDescent="0.25">
      <c r="A6" s="21" t="s">
        <v>13</v>
      </c>
      <c r="B6" s="21" t="s">
        <v>176</v>
      </c>
      <c r="C6" s="21" t="s">
        <v>177</v>
      </c>
      <c r="D6" s="21" t="s">
        <v>191</v>
      </c>
      <c r="E6" s="21" t="s">
        <v>188</v>
      </c>
      <c r="F6" s="21" t="s">
        <v>192</v>
      </c>
      <c r="G6" s="21" t="s">
        <v>181</v>
      </c>
      <c r="H6" s="21" t="s">
        <v>193</v>
      </c>
    </row>
    <row r="7" spans="1:8" ht="38.25" x14ac:dyDescent="0.25">
      <c r="A7" s="21" t="s">
        <v>16</v>
      </c>
      <c r="B7" s="21" t="s">
        <v>176</v>
      </c>
      <c r="C7" s="21" t="s">
        <v>177</v>
      </c>
      <c r="D7" s="21" t="s">
        <v>194</v>
      </c>
      <c r="E7" s="21" t="s">
        <v>188</v>
      </c>
      <c r="F7" s="21" t="s">
        <v>195</v>
      </c>
      <c r="G7" s="21" t="s">
        <v>181</v>
      </c>
      <c r="H7" s="21" t="s">
        <v>196</v>
      </c>
    </row>
    <row r="8" spans="1:8" x14ac:dyDescent="0.25">
      <c r="A8" s="21" t="s">
        <v>46</v>
      </c>
      <c r="B8" s="21" t="s">
        <v>176</v>
      </c>
      <c r="C8" s="21" t="s">
        <v>177</v>
      </c>
      <c r="D8" s="21" t="s">
        <v>197</v>
      </c>
      <c r="E8" s="21" t="s">
        <v>46</v>
      </c>
      <c r="F8" s="21" t="s">
        <v>180</v>
      </c>
      <c r="G8" s="21" t="s">
        <v>181</v>
      </c>
      <c r="H8" s="21" t="s">
        <v>198</v>
      </c>
    </row>
    <row r="9" spans="1:8" x14ac:dyDescent="0.25">
      <c r="A9" s="21" t="s">
        <v>18</v>
      </c>
      <c r="B9" s="21" t="s">
        <v>176</v>
      </c>
      <c r="C9" s="21" t="s">
        <v>177</v>
      </c>
      <c r="D9" s="21" t="s">
        <v>199</v>
      </c>
      <c r="E9" s="21" t="s">
        <v>188</v>
      </c>
      <c r="F9" s="21" t="s">
        <v>200</v>
      </c>
      <c r="G9" s="21" t="s">
        <v>181</v>
      </c>
      <c r="H9" s="21" t="s">
        <v>201</v>
      </c>
    </row>
    <row r="10" spans="1:8" x14ac:dyDescent="0.25">
      <c r="A10" s="21" t="s">
        <v>19</v>
      </c>
      <c r="B10" s="21" t="s">
        <v>176</v>
      </c>
      <c r="C10" s="21" t="s">
        <v>177</v>
      </c>
      <c r="D10" s="21" t="s">
        <v>202</v>
      </c>
      <c r="E10" s="21" t="s">
        <v>188</v>
      </c>
      <c r="F10" s="21" t="s">
        <v>203</v>
      </c>
      <c r="G10" s="21" t="s">
        <v>181</v>
      </c>
      <c r="H10" s="21" t="s">
        <v>204</v>
      </c>
    </row>
    <row r="11" spans="1:8" x14ac:dyDescent="0.25">
      <c r="A11" s="21" t="s">
        <v>47</v>
      </c>
      <c r="B11" s="21" t="s">
        <v>176</v>
      </c>
      <c r="C11" s="21" t="s">
        <v>177</v>
      </c>
      <c r="D11" s="21" t="s">
        <v>205</v>
      </c>
      <c r="E11" s="21" t="s">
        <v>188</v>
      </c>
      <c r="F11" s="21" t="s">
        <v>206</v>
      </c>
      <c r="G11" s="21" t="s">
        <v>181</v>
      </c>
      <c r="H11" s="21" t="s">
        <v>207</v>
      </c>
    </row>
    <row r="12" spans="1:8" x14ac:dyDescent="0.25">
      <c r="A12" s="21" t="s">
        <v>48</v>
      </c>
      <c r="B12" s="21" t="s">
        <v>176</v>
      </c>
      <c r="C12" s="21" t="s">
        <v>177</v>
      </c>
      <c r="D12" s="21" t="s">
        <v>208</v>
      </c>
      <c r="E12" s="21" t="s">
        <v>209</v>
      </c>
      <c r="F12" s="21" t="s">
        <v>210</v>
      </c>
      <c r="G12" s="21" t="s">
        <v>181</v>
      </c>
      <c r="H12" s="21" t="s">
        <v>211</v>
      </c>
    </row>
    <row r="13" spans="1:8" ht="25.5" x14ac:dyDescent="0.25">
      <c r="A13" s="21" t="s">
        <v>49</v>
      </c>
      <c r="B13" s="21" t="s">
        <v>176</v>
      </c>
      <c r="C13" s="21" t="s">
        <v>212</v>
      </c>
      <c r="D13" s="21" t="s">
        <v>213</v>
      </c>
      <c r="E13" s="21" t="s">
        <v>209</v>
      </c>
      <c r="F13" s="21" t="s">
        <v>210</v>
      </c>
      <c r="G13" s="21" t="s">
        <v>181</v>
      </c>
      <c r="H13" s="21" t="s">
        <v>214</v>
      </c>
    </row>
    <row r="14" spans="1:8" ht="25.5" x14ac:dyDescent="0.25">
      <c r="A14" s="21" t="s">
        <v>50</v>
      </c>
      <c r="B14" s="21" t="s">
        <v>176</v>
      </c>
      <c r="C14" s="21" t="s">
        <v>212</v>
      </c>
      <c r="D14" s="21" t="s">
        <v>215</v>
      </c>
      <c r="E14" s="21" t="s">
        <v>209</v>
      </c>
      <c r="F14" s="21" t="s">
        <v>210</v>
      </c>
      <c r="G14" s="21" t="s">
        <v>181</v>
      </c>
      <c r="H14" s="21" t="s">
        <v>214</v>
      </c>
    </row>
    <row r="15" spans="1:8" ht="25.5" x14ac:dyDescent="0.25">
      <c r="A15" s="21" t="s">
        <v>51</v>
      </c>
      <c r="B15" s="21" t="s">
        <v>176</v>
      </c>
      <c r="C15" s="21" t="s">
        <v>212</v>
      </c>
      <c r="D15" s="21" t="s">
        <v>216</v>
      </c>
      <c r="E15" s="21" t="s">
        <v>209</v>
      </c>
      <c r="F15" s="21" t="s">
        <v>210</v>
      </c>
      <c r="G15" s="21" t="s">
        <v>181</v>
      </c>
      <c r="H15" s="21" t="s">
        <v>214</v>
      </c>
    </row>
    <row r="16" spans="1:8" ht="25.5" x14ac:dyDescent="0.25">
      <c r="A16" s="21" t="s">
        <v>52</v>
      </c>
      <c r="B16" s="21" t="s">
        <v>176</v>
      </c>
      <c r="C16" s="21" t="s">
        <v>212</v>
      </c>
      <c r="D16" s="21" t="s">
        <v>217</v>
      </c>
      <c r="E16" s="21" t="s">
        <v>209</v>
      </c>
      <c r="F16" s="21" t="s">
        <v>210</v>
      </c>
      <c r="G16" s="21" t="s">
        <v>181</v>
      </c>
      <c r="H16" s="21" t="s">
        <v>214</v>
      </c>
    </row>
    <row r="17" spans="1:8" ht="25.5" x14ac:dyDescent="0.25">
      <c r="A17" s="21" t="s">
        <v>53</v>
      </c>
      <c r="B17" s="21" t="s">
        <v>176</v>
      </c>
      <c r="C17" s="21" t="s">
        <v>212</v>
      </c>
      <c r="D17" s="21" t="s">
        <v>218</v>
      </c>
      <c r="E17" s="21" t="s">
        <v>209</v>
      </c>
      <c r="F17" s="21" t="s">
        <v>210</v>
      </c>
      <c r="G17" s="21" t="s">
        <v>181</v>
      </c>
      <c r="H17" s="21" t="s">
        <v>214</v>
      </c>
    </row>
    <row r="18" spans="1:8" ht="25.5" x14ac:dyDescent="0.25">
      <c r="A18" s="21" t="s">
        <v>54</v>
      </c>
      <c r="B18" s="21" t="s">
        <v>176</v>
      </c>
      <c r="C18" s="21" t="s">
        <v>212</v>
      </c>
      <c r="D18" s="21" t="s">
        <v>219</v>
      </c>
      <c r="E18" s="21" t="s">
        <v>209</v>
      </c>
      <c r="F18" s="21" t="s">
        <v>210</v>
      </c>
      <c r="G18" s="21" t="s">
        <v>181</v>
      </c>
      <c r="H18" s="21" t="s">
        <v>214</v>
      </c>
    </row>
    <row r="19" spans="1:8" ht="25.5" x14ac:dyDescent="0.25">
      <c r="A19" s="21" t="s">
        <v>55</v>
      </c>
      <c r="B19" s="21" t="s">
        <v>176</v>
      </c>
      <c r="C19" s="21" t="s">
        <v>212</v>
      </c>
      <c r="D19" s="21" t="s">
        <v>220</v>
      </c>
      <c r="E19" s="21" t="s">
        <v>209</v>
      </c>
      <c r="F19" s="21" t="s">
        <v>210</v>
      </c>
      <c r="G19" s="21" t="s">
        <v>181</v>
      </c>
      <c r="H19" s="21" t="s">
        <v>214</v>
      </c>
    </row>
    <row r="20" spans="1:8" ht="25.5" x14ac:dyDescent="0.25">
      <c r="A20" s="21" t="s">
        <v>56</v>
      </c>
      <c r="B20" s="21" t="s">
        <v>176</v>
      </c>
      <c r="C20" s="21" t="s">
        <v>212</v>
      </c>
      <c r="D20" s="21" t="s">
        <v>221</v>
      </c>
      <c r="E20" s="21" t="s">
        <v>209</v>
      </c>
      <c r="F20" s="21" t="s">
        <v>210</v>
      </c>
      <c r="G20" s="21" t="s">
        <v>181</v>
      </c>
      <c r="H20" s="21" t="s">
        <v>214</v>
      </c>
    </row>
    <row r="21" spans="1:8" ht="25.5" x14ac:dyDescent="0.25">
      <c r="A21" s="21" t="s">
        <v>57</v>
      </c>
      <c r="B21" s="21" t="s">
        <v>176</v>
      </c>
      <c r="C21" s="21" t="s">
        <v>222</v>
      </c>
      <c r="D21" s="21" t="s">
        <v>223</v>
      </c>
      <c r="E21" s="21" t="s">
        <v>209</v>
      </c>
      <c r="F21" s="21" t="s">
        <v>210</v>
      </c>
      <c r="G21" s="21" t="s">
        <v>181</v>
      </c>
      <c r="H21" s="21" t="s">
        <v>224</v>
      </c>
    </row>
    <row r="22" spans="1:8" ht="25.5" x14ac:dyDescent="0.25">
      <c r="A22" s="21" t="s">
        <v>58</v>
      </c>
      <c r="B22" s="21" t="s">
        <v>176</v>
      </c>
      <c r="C22" s="21" t="s">
        <v>222</v>
      </c>
      <c r="D22" s="21" t="s">
        <v>225</v>
      </c>
      <c r="E22" s="21" t="s">
        <v>209</v>
      </c>
      <c r="F22" s="21" t="s">
        <v>210</v>
      </c>
      <c r="G22" s="21" t="s">
        <v>181</v>
      </c>
      <c r="H22" s="21" t="s">
        <v>224</v>
      </c>
    </row>
    <row r="23" spans="1:8" ht="25.5" x14ac:dyDescent="0.25">
      <c r="A23" s="21" t="s">
        <v>59</v>
      </c>
      <c r="B23" s="21" t="s">
        <v>176</v>
      </c>
      <c r="C23" s="21" t="s">
        <v>222</v>
      </c>
      <c r="D23" s="21" t="s">
        <v>226</v>
      </c>
      <c r="E23" s="21" t="s">
        <v>209</v>
      </c>
      <c r="F23" s="21" t="s">
        <v>210</v>
      </c>
      <c r="G23" s="21" t="s">
        <v>181</v>
      </c>
      <c r="H23" s="21" t="s">
        <v>224</v>
      </c>
    </row>
    <row r="24" spans="1:8" ht="25.5" x14ac:dyDescent="0.25">
      <c r="A24" s="21" t="s">
        <v>60</v>
      </c>
      <c r="B24" s="21" t="s">
        <v>176</v>
      </c>
      <c r="C24" s="21" t="s">
        <v>222</v>
      </c>
      <c r="D24" s="21" t="s">
        <v>227</v>
      </c>
      <c r="E24" s="21" t="s">
        <v>209</v>
      </c>
      <c r="F24" s="21" t="s">
        <v>210</v>
      </c>
      <c r="G24" s="21" t="s">
        <v>181</v>
      </c>
      <c r="H24" s="21" t="s">
        <v>224</v>
      </c>
    </row>
    <row r="25" spans="1:8" ht="25.5" x14ac:dyDescent="0.25">
      <c r="A25" s="21" t="s">
        <v>61</v>
      </c>
      <c r="B25" s="21" t="s">
        <v>176</v>
      </c>
      <c r="C25" s="21" t="s">
        <v>222</v>
      </c>
      <c r="D25" s="21" t="s">
        <v>228</v>
      </c>
      <c r="E25" s="21" t="s">
        <v>209</v>
      </c>
      <c r="F25" s="21" t="s">
        <v>210</v>
      </c>
      <c r="G25" s="21" t="s">
        <v>181</v>
      </c>
      <c r="H25" s="21" t="s">
        <v>224</v>
      </c>
    </row>
    <row r="26" spans="1:8" ht="25.5" x14ac:dyDescent="0.25">
      <c r="A26" s="21" t="s">
        <v>62</v>
      </c>
      <c r="B26" s="21" t="s">
        <v>176</v>
      </c>
      <c r="C26" s="21" t="s">
        <v>222</v>
      </c>
      <c r="D26" s="21" t="s">
        <v>229</v>
      </c>
      <c r="E26" s="21" t="s">
        <v>209</v>
      </c>
      <c r="F26" s="21" t="s">
        <v>210</v>
      </c>
      <c r="G26" s="21" t="s">
        <v>181</v>
      </c>
      <c r="H26" s="21" t="s">
        <v>224</v>
      </c>
    </row>
    <row r="27" spans="1:8" ht="25.5" x14ac:dyDescent="0.25">
      <c r="A27" s="21" t="s">
        <v>63</v>
      </c>
      <c r="B27" s="21" t="s">
        <v>176</v>
      </c>
      <c r="C27" s="21" t="s">
        <v>222</v>
      </c>
      <c r="D27" s="21" t="s">
        <v>230</v>
      </c>
      <c r="E27" s="21" t="s">
        <v>209</v>
      </c>
      <c r="F27" s="21" t="s">
        <v>210</v>
      </c>
      <c r="G27" s="21" t="s">
        <v>181</v>
      </c>
      <c r="H27" s="21" t="s">
        <v>224</v>
      </c>
    </row>
    <row r="28" spans="1:8" ht="25.5" x14ac:dyDescent="0.25">
      <c r="A28" s="21" t="s">
        <v>64</v>
      </c>
      <c r="B28" s="21" t="s">
        <v>176</v>
      </c>
      <c r="C28" s="21" t="s">
        <v>222</v>
      </c>
      <c r="D28" s="21" t="s">
        <v>231</v>
      </c>
      <c r="E28" s="21" t="s">
        <v>209</v>
      </c>
      <c r="F28" s="21" t="s">
        <v>210</v>
      </c>
      <c r="G28" s="21" t="s">
        <v>181</v>
      </c>
      <c r="H28" s="21" t="s">
        <v>224</v>
      </c>
    </row>
    <row r="29" spans="1:8" x14ac:dyDescent="0.25">
      <c r="A29" s="21" t="s">
        <v>65</v>
      </c>
      <c r="B29" s="21" t="s">
        <v>176</v>
      </c>
      <c r="C29" s="21" t="s">
        <v>232</v>
      </c>
      <c r="D29" s="21" t="s">
        <v>233</v>
      </c>
      <c r="E29" s="21" t="s">
        <v>234</v>
      </c>
      <c r="F29" s="21" t="s">
        <v>235</v>
      </c>
      <c r="G29" s="21" t="s">
        <v>236</v>
      </c>
      <c r="H29" s="21" t="s">
        <v>237</v>
      </c>
    </row>
    <row r="30" spans="1:8" x14ac:dyDescent="0.25">
      <c r="A30" s="21" t="s">
        <v>66</v>
      </c>
      <c r="B30" s="21" t="s">
        <v>176</v>
      </c>
      <c r="C30" s="21" t="s">
        <v>232</v>
      </c>
      <c r="D30" s="21" t="s">
        <v>238</v>
      </c>
      <c r="E30" s="21" t="s">
        <v>234</v>
      </c>
      <c r="F30" s="21" t="s">
        <v>235</v>
      </c>
      <c r="G30" s="21" t="s">
        <v>236</v>
      </c>
      <c r="H30" s="21" t="s">
        <v>237</v>
      </c>
    </row>
    <row r="31" spans="1:8" x14ac:dyDescent="0.25">
      <c r="A31" s="21" t="s">
        <v>67</v>
      </c>
      <c r="B31" s="21" t="s">
        <v>176</v>
      </c>
      <c r="C31" s="21" t="s">
        <v>232</v>
      </c>
      <c r="D31" s="21" t="s">
        <v>239</v>
      </c>
      <c r="E31" s="21" t="s">
        <v>234</v>
      </c>
      <c r="F31" s="21" t="s">
        <v>235</v>
      </c>
      <c r="G31" s="21" t="s">
        <v>236</v>
      </c>
      <c r="H31" s="21" t="s">
        <v>240</v>
      </c>
    </row>
    <row r="32" spans="1:8" x14ac:dyDescent="0.25">
      <c r="A32" s="21" t="s">
        <v>68</v>
      </c>
      <c r="B32" s="21" t="s">
        <v>176</v>
      </c>
      <c r="C32" s="21" t="s">
        <v>232</v>
      </c>
      <c r="D32" s="21" t="s">
        <v>241</v>
      </c>
      <c r="E32" s="21" t="s">
        <v>234</v>
      </c>
      <c r="F32" s="21" t="s">
        <v>235</v>
      </c>
      <c r="G32" s="21" t="s">
        <v>236</v>
      </c>
      <c r="H32" s="21" t="s">
        <v>240</v>
      </c>
    </row>
    <row r="33" spans="1:8" x14ac:dyDescent="0.25">
      <c r="A33" s="21" t="s">
        <v>69</v>
      </c>
      <c r="B33" s="21" t="s">
        <v>176</v>
      </c>
      <c r="C33" s="21" t="s">
        <v>242</v>
      </c>
      <c r="D33" s="21" t="s">
        <v>243</v>
      </c>
      <c r="E33" s="21" t="s">
        <v>244</v>
      </c>
      <c r="F33" s="21" t="s">
        <v>245</v>
      </c>
      <c r="G33" s="21" t="s">
        <v>181</v>
      </c>
      <c r="H33" s="21" t="s">
        <v>246</v>
      </c>
    </row>
    <row r="34" spans="1:8" x14ac:dyDescent="0.25">
      <c r="A34" s="21" t="s">
        <v>70</v>
      </c>
      <c r="B34" s="21" t="s">
        <v>176</v>
      </c>
      <c r="C34" s="21" t="s">
        <v>242</v>
      </c>
      <c r="D34" s="21" t="s">
        <v>247</v>
      </c>
      <c r="E34" s="21" t="s">
        <v>248</v>
      </c>
      <c r="F34" s="21" t="s">
        <v>249</v>
      </c>
      <c r="G34" s="21" t="s">
        <v>181</v>
      </c>
      <c r="H34" s="21" t="s">
        <v>250</v>
      </c>
    </row>
    <row r="35" spans="1:8" x14ac:dyDescent="0.25">
      <c r="A35" s="21" t="s">
        <v>71</v>
      </c>
      <c r="B35" s="21" t="s">
        <v>176</v>
      </c>
      <c r="C35" s="21" t="s">
        <v>242</v>
      </c>
      <c r="D35" s="21" t="s">
        <v>251</v>
      </c>
      <c r="E35" s="21" t="s">
        <v>248</v>
      </c>
      <c r="F35" s="21" t="s">
        <v>252</v>
      </c>
      <c r="G35" s="21" t="s">
        <v>181</v>
      </c>
      <c r="H35" s="21" t="s">
        <v>253</v>
      </c>
    </row>
    <row r="36" spans="1:8" x14ac:dyDescent="0.25">
      <c r="A36" s="21" t="s">
        <v>72</v>
      </c>
      <c r="B36" s="21" t="s">
        <v>176</v>
      </c>
      <c r="C36" s="21" t="s">
        <v>242</v>
      </c>
      <c r="D36" s="21" t="s">
        <v>254</v>
      </c>
      <c r="E36" s="21" t="s">
        <v>244</v>
      </c>
      <c r="F36" s="21" t="s">
        <v>245</v>
      </c>
      <c r="G36" s="21" t="s">
        <v>181</v>
      </c>
      <c r="H36" s="21" t="s">
        <v>255</v>
      </c>
    </row>
    <row r="37" spans="1:8" x14ac:dyDescent="0.25">
      <c r="A37" s="21" t="s">
        <v>73</v>
      </c>
      <c r="B37" s="21" t="s">
        <v>176</v>
      </c>
      <c r="C37" s="21" t="s">
        <v>242</v>
      </c>
      <c r="D37" s="21" t="s">
        <v>256</v>
      </c>
      <c r="E37" s="21" t="s">
        <v>248</v>
      </c>
      <c r="F37" s="21" t="s">
        <v>252</v>
      </c>
      <c r="G37" s="21" t="s">
        <v>181</v>
      </c>
      <c r="H37" s="21" t="s">
        <v>257</v>
      </c>
    </row>
    <row r="38" spans="1:8" x14ac:dyDescent="0.25">
      <c r="A38" s="21" t="s">
        <v>74</v>
      </c>
      <c r="B38" s="21" t="s">
        <v>176</v>
      </c>
      <c r="C38" s="21" t="s">
        <v>242</v>
      </c>
      <c r="D38" s="21" t="s">
        <v>258</v>
      </c>
      <c r="E38" s="21" t="s">
        <v>209</v>
      </c>
      <c r="F38" s="21" t="s">
        <v>210</v>
      </c>
      <c r="G38" s="21" t="s">
        <v>181</v>
      </c>
      <c r="H38" s="21" t="s">
        <v>259</v>
      </c>
    </row>
    <row r="39" spans="1:8" x14ac:dyDescent="0.25">
      <c r="A39" s="21" t="s">
        <v>75</v>
      </c>
      <c r="B39" s="21" t="s">
        <v>176</v>
      </c>
      <c r="C39" s="21" t="s">
        <v>242</v>
      </c>
      <c r="D39" s="21" t="s">
        <v>260</v>
      </c>
      <c r="E39" s="21" t="s">
        <v>248</v>
      </c>
      <c r="F39" s="21" t="s">
        <v>252</v>
      </c>
      <c r="G39" s="21" t="s">
        <v>261</v>
      </c>
      <c r="H39" s="21" t="s">
        <v>262</v>
      </c>
    </row>
    <row r="40" spans="1:8" x14ac:dyDescent="0.25">
      <c r="A40" s="21" t="s">
        <v>76</v>
      </c>
      <c r="B40" s="21" t="s">
        <v>176</v>
      </c>
      <c r="C40" s="21" t="s">
        <v>263</v>
      </c>
      <c r="D40" s="21" t="s">
        <v>264</v>
      </c>
      <c r="E40" s="21" t="s">
        <v>209</v>
      </c>
      <c r="F40" s="21" t="s">
        <v>210</v>
      </c>
      <c r="G40" s="21" t="s">
        <v>181</v>
      </c>
      <c r="H40" s="21" t="s">
        <v>265</v>
      </c>
    </row>
    <row r="41" spans="1:8" x14ac:dyDescent="0.25">
      <c r="A41" s="21" t="s">
        <v>77</v>
      </c>
      <c r="B41" s="21" t="s">
        <v>176</v>
      </c>
      <c r="C41" s="21" t="s">
        <v>263</v>
      </c>
      <c r="D41" s="21" t="s">
        <v>266</v>
      </c>
      <c r="E41" s="21" t="s">
        <v>248</v>
      </c>
      <c r="F41" s="21" t="s">
        <v>252</v>
      </c>
      <c r="G41" s="21" t="s">
        <v>261</v>
      </c>
      <c r="H41" s="21" t="s">
        <v>265</v>
      </c>
    </row>
    <row r="42" spans="1:8" x14ac:dyDescent="0.25">
      <c r="A42" s="21" t="s">
        <v>78</v>
      </c>
      <c r="B42" s="21" t="s">
        <v>176</v>
      </c>
      <c r="C42" s="21" t="s">
        <v>263</v>
      </c>
      <c r="D42" s="21" t="s">
        <v>267</v>
      </c>
      <c r="E42" s="21" t="s">
        <v>248</v>
      </c>
      <c r="F42" s="21" t="s">
        <v>268</v>
      </c>
      <c r="G42" s="21" t="s">
        <v>261</v>
      </c>
      <c r="H42" s="21" t="s">
        <v>269</v>
      </c>
    </row>
    <row r="43" spans="1:8" x14ac:dyDescent="0.25">
      <c r="A43" s="21" t="s">
        <v>79</v>
      </c>
      <c r="B43" s="21" t="s">
        <v>176</v>
      </c>
      <c r="C43" s="21" t="s">
        <v>263</v>
      </c>
      <c r="D43" s="21" t="s">
        <v>270</v>
      </c>
      <c r="E43" s="21" t="s">
        <v>248</v>
      </c>
      <c r="F43" s="21" t="s">
        <v>271</v>
      </c>
      <c r="G43" s="21" t="s">
        <v>261</v>
      </c>
      <c r="H43" s="21" t="s">
        <v>272</v>
      </c>
    </row>
    <row r="44" spans="1:8" x14ac:dyDescent="0.25">
      <c r="A44" s="21" t="s">
        <v>80</v>
      </c>
      <c r="B44" s="21" t="s">
        <v>176</v>
      </c>
      <c r="C44" s="21" t="s">
        <v>263</v>
      </c>
      <c r="D44" s="21" t="s">
        <v>273</v>
      </c>
      <c r="E44" s="21" t="s">
        <v>248</v>
      </c>
      <c r="F44" s="21" t="s">
        <v>252</v>
      </c>
      <c r="G44" s="21" t="s">
        <v>261</v>
      </c>
      <c r="H44" s="21" t="s">
        <v>272</v>
      </c>
    </row>
    <row r="45" spans="1:8" x14ac:dyDescent="0.25">
      <c r="A45" s="21" t="s">
        <v>81</v>
      </c>
      <c r="B45" s="21" t="s">
        <v>176</v>
      </c>
      <c r="C45" s="21" t="s">
        <v>274</v>
      </c>
      <c r="D45" s="21" t="s">
        <v>275</v>
      </c>
      <c r="E45" s="21" t="s">
        <v>209</v>
      </c>
      <c r="F45" s="21" t="s">
        <v>210</v>
      </c>
      <c r="G45" s="21" t="s">
        <v>181</v>
      </c>
      <c r="H45" s="21" t="s">
        <v>276</v>
      </c>
    </row>
    <row r="46" spans="1:8" x14ac:dyDescent="0.25">
      <c r="A46" s="21" t="s">
        <v>82</v>
      </c>
      <c r="B46" s="21" t="s">
        <v>176</v>
      </c>
      <c r="C46" s="21" t="s">
        <v>274</v>
      </c>
      <c r="D46" s="21" t="s">
        <v>277</v>
      </c>
      <c r="E46" s="21" t="s">
        <v>179</v>
      </c>
      <c r="F46" s="21" t="s">
        <v>180</v>
      </c>
      <c r="G46" s="21" t="s">
        <v>261</v>
      </c>
      <c r="H46" s="21" t="s">
        <v>278</v>
      </c>
    </row>
    <row r="47" spans="1:8" x14ac:dyDescent="0.25">
      <c r="A47" s="21" t="s">
        <v>89</v>
      </c>
      <c r="B47" s="21" t="s">
        <v>279</v>
      </c>
      <c r="C47" s="21" t="s">
        <v>280</v>
      </c>
      <c r="D47" s="21" t="s">
        <v>281</v>
      </c>
      <c r="E47" s="21" t="s">
        <v>179</v>
      </c>
      <c r="F47" s="21" t="s">
        <v>180</v>
      </c>
      <c r="G47" s="21" t="s">
        <v>181</v>
      </c>
      <c r="H47" s="21" t="s">
        <v>282</v>
      </c>
    </row>
    <row r="48" spans="1:8" x14ac:dyDescent="0.25">
      <c r="A48" s="21" t="s">
        <v>12</v>
      </c>
      <c r="B48" s="21" t="s">
        <v>279</v>
      </c>
      <c r="C48" s="21" t="s">
        <v>280</v>
      </c>
      <c r="D48" s="21" t="s">
        <v>283</v>
      </c>
      <c r="E48" s="21" t="s">
        <v>179</v>
      </c>
      <c r="F48" s="21" t="s">
        <v>180</v>
      </c>
      <c r="G48" s="21" t="s">
        <v>181</v>
      </c>
      <c r="H48" s="21" t="s">
        <v>284</v>
      </c>
    </row>
    <row r="49" spans="1:8" x14ac:dyDescent="0.25">
      <c r="A49" s="21" t="s">
        <v>46</v>
      </c>
      <c r="B49" s="21" t="s">
        <v>279</v>
      </c>
      <c r="C49" s="21" t="s">
        <v>280</v>
      </c>
      <c r="D49" s="21" t="s">
        <v>285</v>
      </c>
      <c r="E49" s="21" t="s">
        <v>46</v>
      </c>
      <c r="F49" s="21" t="s">
        <v>180</v>
      </c>
      <c r="G49" s="21" t="s">
        <v>181</v>
      </c>
      <c r="H49" s="21" t="s">
        <v>204</v>
      </c>
    </row>
    <row r="50" spans="1:8" x14ac:dyDescent="0.25">
      <c r="A50" s="21" t="s">
        <v>90</v>
      </c>
      <c r="B50" s="21" t="s">
        <v>279</v>
      </c>
      <c r="C50" s="21" t="s">
        <v>280</v>
      </c>
      <c r="D50" s="21" t="s">
        <v>286</v>
      </c>
      <c r="E50" s="21" t="s">
        <v>179</v>
      </c>
      <c r="F50" s="21" t="s">
        <v>180</v>
      </c>
      <c r="G50" s="21" t="s">
        <v>181</v>
      </c>
      <c r="H50" s="21" t="s">
        <v>287</v>
      </c>
    </row>
    <row r="51" spans="1:8" x14ac:dyDescent="0.25">
      <c r="A51" s="21" t="s">
        <v>91</v>
      </c>
      <c r="B51" s="21" t="s">
        <v>279</v>
      </c>
      <c r="C51" s="21" t="s">
        <v>280</v>
      </c>
      <c r="D51" s="21" t="s">
        <v>288</v>
      </c>
      <c r="E51" s="21" t="s">
        <v>188</v>
      </c>
      <c r="F51" s="21" t="s">
        <v>206</v>
      </c>
      <c r="G51" s="21" t="s">
        <v>181</v>
      </c>
      <c r="H51" s="21" t="s">
        <v>289</v>
      </c>
    </row>
    <row r="52" spans="1:8" x14ac:dyDescent="0.25">
      <c r="A52" s="21" t="s">
        <v>92</v>
      </c>
      <c r="B52" s="21" t="s">
        <v>279</v>
      </c>
      <c r="C52" s="21" t="s">
        <v>280</v>
      </c>
      <c r="D52" s="21" t="s">
        <v>290</v>
      </c>
      <c r="E52" s="21" t="s">
        <v>209</v>
      </c>
      <c r="F52" s="21" t="s">
        <v>210</v>
      </c>
      <c r="G52" s="21" t="s">
        <v>181</v>
      </c>
      <c r="H52" s="21" t="s">
        <v>291</v>
      </c>
    </row>
    <row r="53" spans="1:8" ht="25.5" x14ac:dyDescent="0.25">
      <c r="A53" s="21" t="s">
        <v>93</v>
      </c>
      <c r="B53" s="21" t="s">
        <v>279</v>
      </c>
      <c r="C53" s="21" t="s">
        <v>292</v>
      </c>
      <c r="D53" s="21" t="s">
        <v>293</v>
      </c>
      <c r="E53" s="21" t="s">
        <v>188</v>
      </c>
      <c r="F53" s="21" t="s">
        <v>294</v>
      </c>
      <c r="G53" s="21" t="s">
        <v>181</v>
      </c>
      <c r="H53" s="21" t="s">
        <v>295</v>
      </c>
    </row>
    <row r="54" spans="1:8" ht="25.5" x14ac:dyDescent="0.25">
      <c r="A54" s="21" t="s">
        <v>94</v>
      </c>
      <c r="B54" s="21" t="s">
        <v>279</v>
      </c>
      <c r="C54" s="21" t="s">
        <v>292</v>
      </c>
      <c r="D54" s="21" t="s">
        <v>296</v>
      </c>
      <c r="E54" s="21" t="s">
        <v>188</v>
      </c>
      <c r="F54" s="21" t="s">
        <v>297</v>
      </c>
      <c r="G54" s="21" t="s">
        <v>181</v>
      </c>
      <c r="H54" s="21" t="s">
        <v>298</v>
      </c>
    </row>
    <row r="55" spans="1:8" ht="25.5" x14ac:dyDescent="0.25">
      <c r="A55" s="21" t="s">
        <v>95</v>
      </c>
      <c r="B55" s="21" t="s">
        <v>279</v>
      </c>
      <c r="C55" s="21" t="s">
        <v>292</v>
      </c>
      <c r="D55" s="21" t="s">
        <v>299</v>
      </c>
      <c r="E55" s="21" t="s">
        <v>188</v>
      </c>
      <c r="F55" s="21" t="s">
        <v>300</v>
      </c>
      <c r="G55" s="21" t="s">
        <v>181</v>
      </c>
      <c r="H55" s="21" t="s">
        <v>301</v>
      </c>
    </row>
    <row r="56" spans="1:8" x14ac:dyDescent="0.25">
      <c r="A56" s="21" t="s">
        <v>96</v>
      </c>
      <c r="B56" s="21" t="s">
        <v>279</v>
      </c>
      <c r="C56" s="21" t="s">
        <v>292</v>
      </c>
      <c r="D56" s="21" t="s">
        <v>302</v>
      </c>
      <c r="E56" s="21" t="s">
        <v>248</v>
      </c>
      <c r="F56" s="21" t="s">
        <v>252</v>
      </c>
      <c r="G56" s="21" t="s">
        <v>181</v>
      </c>
      <c r="H56" s="21" t="s">
        <v>303</v>
      </c>
    </row>
    <row r="57" spans="1:8" ht="25.5" x14ac:dyDescent="0.25">
      <c r="A57" s="21" t="s">
        <v>97</v>
      </c>
      <c r="B57" s="21" t="s">
        <v>279</v>
      </c>
      <c r="C57" s="21" t="s">
        <v>304</v>
      </c>
      <c r="D57" s="21" t="s">
        <v>305</v>
      </c>
      <c r="E57" s="21" t="s">
        <v>244</v>
      </c>
      <c r="F57" s="21" t="s">
        <v>245</v>
      </c>
      <c r="G57" s="21" t="s">
        <v>181</v>
      </c>
      <c r="H57" s="21" t="s">
        <v>306</v>
      </c>
    </row>
    <row r="58" spans="1:8" ht="25.5" x14ac:dyDescent="0.25">
      <c r="A58" s="21" t="s">
        <v>98</v>
      </c>
      <c r="B58" s="21" t="s">
        <v>279</v>
      </c>
      <c r="C58" s="21" t="s">
        <v>304</v>
      </c>
      <c r="D58" s="21" t="s">
        <v>307</v>
      </c>
      <c r="E58" s="21" t="s">
        <v>244</v>
      </c>
      <c r="F58" s="21" t="s">
        <v>245</v>
      </c>
      <c r="G58" s="21" t="s">
        <v>181</v>
      </c>
      <c r="H58" s="21" t="s">
        <v>306</v>
      </c>
    </row>
    <row r="59" spans="1:8" ht="25.5" x14ac:dyDescent="0.25">
      <c r="A59" s="21" t="s">
        <v>99</v>
      </c>
      <c r="B59" s="21" t="s">
        <v>279</v>
      </c>
      <c r="C59" s="21" t="s">
        <v>304</v>
      </c>
      <c r="D59" s="21" t="s">
        <v>308</v>
      </c>
      <c r="E59" s="21" t="s">
        <v>244</v>
      </c>
      <c r="F59" s="21" t="s">
        <v>245</v>
      </c>
      <c r="G59" s="21" t="s">
        <v>181</v>
      </c>
      <c r="H59" s="21" t="s">
        <v>309</v>
      </c>
    </row>
    <row r="60" spans="1:8" ht="25.5" x14ac:dyDescent="0.25">
      <c r="A60" s="21" t="s">
        <v>100</v>
      </c>
      <c r="B60" s="21" t="s">
        <v>279</v>
      </c>
      <c r="C60" s="21" t="s">
        <v>304</v>
      </c>
      <c r="D60" s="21" t="s">
        <v>310</v>
      </c>
      <c r="E60" s="21" t="s">
        <v>244</v>
      </c>
      <c r="F60" s="21" t="s">
        <v>245</v>
      </c>
      <c r="G60" s="21" t="s">
        <v>181</v>
      </c>
      <c r="H60" s="21" t="s">
        <v>306</v>
      </c>
    </row>
    <row r="61" spans="1:8" ht="25.5" x14ac:dyDescent="0.25">
      <c r="A61" s="21" t="s">
        <v>101</v>
      </c>
      <c r="B61" s="21" t="s">
        <v>279</v>
      </c>
      <c r="C61" s="21" t="s">
        <v>304</v>
      </c>
      <c r="D61" s="21" t="s">
        <v>311</v>
      </c>
      <c r="E61" s="21" t="s">
        <v>244</v>
      </c>
      <c r="F61" s="21" t="s">
        <v>245</v>
      </c>
      <c r="G61" s="21" t="s">
        <v>181</v>
      </c>
      <c r="H61" s="21" t="s">
        <v>306</v>
      </c>
    </row>
    <row r="62" spans="1:8" ht="25.5" x14ac:dyDescent="0.25">
      <c r="A62" s="21" t="s">
        <v>102</v>
      </c>
      <c r="B62" s="21" t="s">
        <v>279</v>
      </c>
      <c r="C62" s="21" t="s">
        <v>304</v>
      </c>
      <c r="D62" s="21" t="s">
        <v>312</v>
      </c>
      <c r="E62" s="21" t="s">
        <v>244</v>
      </c>
      <c r="F62" s="21" t="s">
        <v>245</v>
      </c>
      <c r="G62" s="21" t="s">
        <v>181</v>
      </c>
      <c r="H62" s="21" t="s">
        <v>306</v>
      </c>
    </row>
    <row r="63" spans="1:8" ht="25.5" x14ac:dyDescent="0.25">
      <c r="A63" s="21" t="s">
        <v>103</v>
      </c>
      <c r="B63" s="21" t="s">
        <v>279</v>
      </c>
      <c r="C63" s="21" t="s">
        <v>304</v>
      </c>
      <c r="D63" s="21" t="s">
        <v>313</v>
      </c>
      <c r="E63" s="21" t="s">
        <v>244</v>
      </c>
      <c r="F63" s="21" t="s">
        <v>245</v>
      </c>
      <c r="G63" s="21" t="s">
        <v>181</v>
      </c>
      <c r="H63" s="21" t="s">
        <v>301</v>
      </c>
    </row>
    <row r="64" spans="1:8" ht="25.5" x14ac:dyDescent="0.25">
      <c r="A64" s="21" t="s">
        <v>104</v>
      </c>
      <c r="B64" s="21" t="s">
        <v>279</v>
      </c>
      <c r="C64" s="21" t="s">
        <v>304</v>
      </c>
      <c r="D64" s="21" t="s">
        <v>314</v>
      </c>
      <c r="E64" s="21" t="s">
        <v>188</v>
      </c>
      <c r="F64" s="21" t="s">
        <v>315</v>
      </c>
      <c r="G64" s="21" t="s">
        <v>181</v>
      </c>
      <c r="H64" s="21" t="s">
        <v>316</v>
      </c>
    </row>
    <row r="65" spans="1:8" ht="25.5" x14ac:dyDescent="0.25">
      <c r="A65" s="21" t="s">
        <v>105</v>
      </c>
      <c r="B65" s="21" t="s">
        <v>279</v>
      </c>
      <c r="C65" s="21" t="s">
        <v>317</v>
      </c>
      <c r="D65" s="21" t="s">
        <v>318</v>
      </c>
      <c r="E65" s="21" t="s">
        <v>244</v>
      </c>
      <c r="F65" s="21" t="s">
        <v>245</v>
      </c>
      <c r="G65" s="21" t="s">
        <v>181</v>
      </c>
      <c r="H65" s="21" t="s">
        <v>319</v>
      </c>
    </row>
    <row r="66" spans="1:8" ht="25.5" x14ac:dyDescent="0.25">
      <c r="A66" s="21" t="s">
        <v>106</v>
      </c>
      <c r="B66" s="21" t="s">
        <v>279</v>
      </c>
      <c r="C66" s="21" t="s">
        <v>317</v>
      </c>
      <c r="D66" s="21" t="s">
        <v>320</v>
      </c>
      <c r="E66" s="21" t="s">
        <v>244</v>
      </c>
      <c r="F66" s="21" t="s">
        <v>245</v>
      </c>
      <c r="G66" s="21" t="s">
        <v>181</v>
      </c>
      <c r="H66" s="21" t="s">
        <v>321</v>
      </c>
    </row>
    <row r="67" spans="1:8" ht="25.5" x14ac:dyDescent="0.25">
      <c r="A67" s="21" t="s">
        <v>107</v>
      </c>
      <c r="B67" s="21" t="s">
        <v>279</v>
      </c>
      <c r="C67" s="21" t="s">
        <v>317</v>
      </c>
      <c r="D67" s="21" t="s">
        <v>322</v>
      </c>
      <c r="E67" s="21" t="s">
        <v>244</v>
      </c>
      <c r="F67" s="21" t="s">
        <v>245</v>
      </c>
      <c r="G67" s="21" t="s">
        <v>181</v>
      </c>
      <c r="H67" s="21" t="s">
        <v>323</v>
      </c>
    </row>
    <row r="68" spans="1:8" ht="25.5" x14ac:dyDescent="0.25">
      <c r="A68" s="21" t="s">
        <v>108</v>
      </c>
      <c r="B68" s="21" t="s">
        <v>279</v>
      </c>
      <c r="C68" s="21" t="s">
        <v>317</v>
      </c>
      <c r="D68" s="21" t="s">
        <v>324</v>
      </c>
      <c r="E68" s="21" t="s">
        <v>244</v>
      </c>
      <c r="F68" s="21" t="s">
        <v>245</v>
      </c>
      <c r="G68" s="21" t="s">
        <v>181</v>
      </c>
      <c r="H68" s="21" t="s">
        <v>325</v>
      </c>
    </row>
    <row r="69" spans="1:8" ht="25.5" x14ac:dyDescent="0.25">
      <c r="A69" s="21" t="s">
        <v>109</v>
      </c>
      <c r="B69" s="21" t="s">
        <v>279</v>
      </c>
      <c r="C69" s="21" t="s">
        <v>317</v>
      </c>
      <c r="D69" s="21" t="s">
        <v>326</v>
      </c>
      <c r="E69" s="21" t="s">
        <v>244</v>
      </c>
      <c r="F69" s="21" t="s">
        <v>245</v>
      </c>
      <c r="G69" s="21" t="s">
        <v>181</v>
      </c>
      <c r="H69" s="21" t="s">
        <v>327</v>
      </c>
    </row>
    <row r="70" spans="1:8" ht="25.5" x14ac:dyDescent="0.25">
      <c r="A70" s="21" t="s">
        <v>110</v>
      </c>
      <c r="B70" s="21" t="s">
        <v>279</v>
      </c>
      <c r="C70" s="21" t="s">
        <v>317</v>
      </c>
      <c r="D70" s="21" t="s">
        <v>328</v>
      </c>
      <c r="E70" s="21" t="s">
        <v>244</v>
      </c>
      <c r="F70" s="21" t="s">
        <v>245</v>
      </c>
      <c r="G70" s="21" t="s">
        <v>181</v>
      </c>
      <c r="H70" s="21" t="s">
        <v>329</v>
      </c>
    </row>
    <row r="71" spans="1:8" ht="25.5" x14ac:dyDescent="0.25">
      <c r="A71" s="21" t="s">
        <v>111</v>
      </c>
      <c r="B71" s="21" t="s">
        <v>279</v>
      </c>
      <c r="C71" s="21" t="s">
        <v>317</v>
      </c>
      <c r="D71" s="21" t="s">
        <v>330</v>
      </c>
      <c r="E71" s="21" t="s">
        <v>209</v>
      </c>
      <c r="F71" s="21" t="s">
        <v>210</v>
      </c>
      <c r="G71" s="21" t="s">
        <v>181</v>
      </c>
      <c r="H71" s="21" t="s">
        <v>331</v>
      </c>
    </row>
    <row r="72" spans="1:8" ht="25.5" x14ac:dyDescent="0.25">
      <c r="A72" s="21" t="s">
        <v>112</v>
      </c>
      <c r="B72" s="21" t="s">
        <v>279</v>
      </c>
      <c r="C72" s="21" t="s">
        <v>317</v>
      </c>
      <c r="D72" s="21" t="s">
        <v>332</v>
      </c>
      <c r="E72" s="21" t="s">
        <v>179</v>
      </c>
      <c r="F72" s="21" t="s">
        <v>180</v>
      </c>
      <c r="G72" s="21" t="s">
        <v>261</v>
      </c>
      <c r="H72" s="21" t="s">
        <v>333</v>
      </c>
    </row>
    <row r="73" spans="1:8" ht="25.5" x14ac:dyDescent="0.25">
      <c r="A73" s="21" t="s">
        <v>113</v>
      </c>
      <c r="B73" s="21" t="s">
        <v>279</v>
      </c>
      <c r="C73" s="21" t="s">
        <v>317</v>
      </c>
      <c r="D73" s="21" t="s">
        <v>334</v>
      </c>
      <c r="E73" s="21" t="s">
        <v>179</v>
      </c>
      <c r="F73" s="21" t="s">
        <v>180</v>
      </c>
      <c r="G73" s="21" t="s">
        <v>181</v>
      </c>
      <c r="H73" s="21" t="s">
        <v>335</v>
      </c>
    </row>
    <row r="74" spans="1:8" ht="38.25" x14ac:dyDescent="0.25">
      <c r="A74" s="21" t="s">
        <v>114</v>
      </c>
      <c r="B74" s="21" t="s">
        <v>279</v>
      </c>
      <c r="C74" s="21" t="s">
        <v>317</v>
      </c>
      <c r="D74" s="21" t="s">
        <v>336</v>
      </c>
      <c r="E74" s="21" t="s">
        <v>188</v>
      </c>
      <c r="F74" s="21" t="s">
        <v>337</v>
      </c>
      <c r="G74" s="21" t="s">
        <v>261</v>
      </c>
      <c r="H74" s="21" t="s">
        <v>338</v>
      </c>
    </row>
    <row r="75" spans="1:8" ht="25.5" x14ac:dyDescent="0.25">
      <c r="A75" s="21" t="s">
        <v>115</v>
      </c>
      <c r="B75" s="21" t="s">
        <v>279</v>
      </c>
      <c r="C75" s="21" t="s">
        <v>339</v>
      </c>
      <c r="D75" s="21" t="s">
        <v>340</v>
      </c>
      <c r="E75" s="21" t="s">
        <v>341</v>
      </c>
      <c r="F75" s="21" t="s">
        <v>342</v>
      </c>
      <c r="G75" s="21" t="s">
        <v>181</v>
      </c>
      <c r="H75" s="21" t="s">
        <v>343</v>
      </c>
    </row>
    <row r="76" spans="1:8" ht="25.5" x14ac:dyDescent="0.25">
      <c r="A76" s="21" t="s">
        <v>116</v>
      </c>
      <c r="B76" s="21" t="s">
        <v>279</v>
      </c>
      <c r="C76" s="21" t="s">
        <v>339</v>
      </c>
      <c r="D76" s="21" t="s">
        <v>344</v>
      </c>
      <c r="E76" s="21" t="s">
        <v>244</v>
      </c>
      <c r="F76" s="21" t="s">
        <v>245</v>
      </c>
      <c r="G76" s="21" t="s">
        <v>181</v>
      </c>
      <c r="H76" s="21" t="s">
        <v>345</v>
      </c>
    </row>
    <row r="77" spans="1:8" ht="25.5" x14ac:dyDescent="0.25">
      <c r="A77" s="21" t="s">
        <v>117</v>
      </c>
      <c r="B77" s="21" t="s">
        <v>279</v>
      </c>
      <c r="C77" s="21" t="s">
        <v>339</v>
      </c>
      <c r="D77" s="21" t="s">
        <v>346</v>
      </c>
      <c r="E77" s="21" t="s">
        <v>188</v>
      </c>
      <c r="F77" s="21" t="s">
        <v>347</v>
      </c>
      <c r="G77" s="21" t="s">
        <v>181</v>
      </c>
      <c r="H77" s="21" t="s">
        <v>348</v>
      </c>
    </row>
    <row r="78" spans="1:8" ht="25.5" x14ac:dyDescent="0.25">
      <c r="A78" s="21" t="s">
        <v>118</v>
      </c>
      <c r="B78" s="21" t="s">
        <v>279</v>
      </c>
      <c r="C78" s="21" t="s">
        <v>339</v>
      </c>
      <c r="D78" s="21" t="s">
        <v>349</v>
      </c>
      <c r="E78" s="21" t="s">
        <v>188</v>
      </c>
      <c r="F78" s="21" t="s">
        <v>350</v>
      </c>
      <c r="G78" s="21" t="s">
        <v>181</v>
      </c>
      <c r="H78" s="21" t="s">
        <v>351</v>
      </c>
    </row>
    <row r="79" spans="1:8" ht="25.5" x14ac:dyDescent="0.25">
      <c r="A79" s="21" t="s">
        <v>119</v>
      </c>
      <c r="B79" s="21" t="s">
        <v>279</v>
      </c>
      <c r="C79" s="21" t="s">
        <v>339</v>
      </c>
      <c r="D79" s="21" t="s">
        <v>352</v>
      </c>
      <c r="E79" s="21" t="s">
        <v>248</v>
      </c>
      <c r="F79" s="21" t="s">
        <v>252</v>
      </c>
      <c r="G79" s="21" t="s">
        <v>181</v>
      </c>
      <c r="H79" s="21" t="s">
        <v>353</v>
      </c>
    </row>
    <row r="80" spans="1:8" ht="25.5" x14ac:dyDescent="0.25">
      <c r="A80" s="21" t="s">
        <v>120</v>
      </c>
      <c r="B80" s="21" t="s">
        <v>279</v>
      </c>
      <c r="C80" s="21" t="s">
        <v>339</v>
      </c>
      <c r="D80" s="21" t="s">
        <v>354</v>
      </c>
      <c r="E80" s="21" t="s">
        <v>248</v>
      </c>
      <c r="F80" s="21" t="s">
        <v>252</v>
      </c>
      <c r="G80" s="21" t="s">
        <v>181</v>
      </c>
      <c r="H80" s="21" t="s">
        <v>355</v>
      </c>
    </row>
    <row r="81" spans="1:8" ht="25.5" x14ac:dyDescent="0.25">
      <c r="A81" s="21" t="s">
        <v>121</v>
      </c>
      <c r="B81" s="21" t="s">
        <v>279</v>
      </c>
      <c r="C81" s="21" t="s">
        <v>339</v>
      </c>
      <c r="D81" s="21" t="s">
        <v>356</v>
      </c>
      <c r="E81" s="21" t="s">
        <v>188</v>
      </c>
      <c r="F81" s="21" t="s">
        <v>357</v>
      </c>
      <c r="G81" s="21" t="s">
        <v>181</v>
      </c>
      <c r="H81" s="21" t="s">
        <v>358</v>
      </c>
    </row>
    <row r="82" spans="1:8" ht="25.5" x14ac:dyDescent="0.25">
      <c r="A82" s="21" t="s">
        <v>122</v>
      </c>
      <c r="B82" s="21" t="s">
        <v>279</v>
      </c>
      <c r="C82" s="21" t="s">
        <v>359</v>
      </c>
      <c r="D82" s="21" t="s">
        <v>360</v>
      </c>
      <c r="E82" s="21" t="s">
        <v>188</v>
      </c>
      <c r="F82" s="21" t="s">
        <v>361</v>
      </c>
      <c r="G82" s="21" t="s">
        <v>181</v>
      </c>
      <c r="H82" s="21" t="s">
        <v>362</v>
      </c>
    </row>
    <row r="83" spans="1:8" ht="25.5" x14ac:dyDescent="0.25">
      <c r="A83" s="21" t="s">
        <v>123</v>
      </c>
      <c r="B83" s="21" t="s">
        <v>279</v>
      </c>
      <c r="C83" s="21" t="s">
        <v>359</v>
      </c>
      <c r="D83" s="21" t="s">
        <v>363</v>
      </c>
      <c r="E83" s="21" t="s">
        <v>188</v>
      </c>
      <c r="F83" s="21" t="s">
        <v>364</v>
      </c>
      <c r="G83" s="21" t="s">
        <v>181</v>
      </c>
      <c r="H83" s="21" t="s">
        <v>365</v>
      </c>
    </row>
    <row r="84" spans="1:8" ht="25.5" x14ac:dyDescent="0.25">
      <c r="A84" s="21" t="s">
        <v>124</v>
      </c>
      <c r="B84" s="21" t="s">
        <v>279</v>
      </c>
      <c r="C84" s="21" t="s">
        <v>359</v>
      </c>
      <c r="D84" s="21" t="s">
        <v>366</v>
      </c>
      <c r="E84" s="21" t="s">
        <v>188</v>
      </c>
      <c r="F84" s="21" t="s">
        <v>367</v>
      </c>
      <c r="G84" s="21" t="s">
        <v>181</v>
      </c>
      <c r="H84" s="21" t="s">
        <v>368</v>
      </c>
    </row>
    <row r="85" spans="1:8" x14ac:dyDescent="0.25">
      <c r="A85" s="21" t="s">
        <v>125</v>
      </c>
      <c r="B85" s="21" t="s">
        <v>279</v>
      </c>
      <c r="C85" s="21" t="s">
        <v>369</v>
      </c>
      <c r="D85" s="21" t="s">
        <v>370</v>
      </c>
      <c r="E85" s="21" t="s">
        <v>179</v>
      </c>
      <c r="F85" s="21" t="s">
        <v>180</v>
      </c>
      <c r="G85" s="21" t="s">
        <v>261</v>
      </c>
      <c r="H85" s="21" t="s">
        <v>371</v>
      </c>
    </row>
  </sheetData>
  <autoFilter ref="A1:H8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"/>
  <sheetViews>
    <sheetView zoomScaleNormal="100" workbookViewId="0"/>
  </sheetViews>
  <sheetFormatPr baseColWidth="10" defaultColWidth="8.7109375" defaultRowHeight="15" x14ac:dyDescent="0.25"/>
  <cols>
    <col min="1" max="17" width="28" customWidth="1"/>
  </cols>
  <sheetData>
    <row r="1" spans="1:17" x14ac:dyDescent="0.25">
      <c r="A1" s="15" t="s">
        <v>45</v>
      </c>
      <c r="B1" s="15" t="s">
        <v>13</v>
      </c>
      <c r="C1" s="15" t="s">
        <v>16</v>
      </c>
      <c r="D1" s="15" t="s">
        <v>18</v>
      </c>
      <c r="E1" s="15" t="s">
        <v>19</v>
      </c>
      <c r="F1" s="15" t="s">
        <v>372</v>
      </c>
      <c r="G1" s="15" t="s">
        <v>93</v>
      </c>
      <c r="H1" s="15" t="s">
        <v>94</v>
      </c>
      <c r="I1" s="15" t="s">
        <v>95</v>
      </c>
      <c r="J1" s="15" t="s">
        <v>373</v>
      </c>
      <c r="K1" s="15" t="s">
        <v>117</v>
      </c>
      <c r="L1" s="15" t="s">
        <v>118</v>
      </c>
      <c r="M1" s="15" t="s">
        <v>121</v>
      </c>
      <c r="N1" s="15" t="s">
        <v>122</v>
      </c>
      <c r="O1" s="15" t="s">
        <v>123</v>
      </c>
      <c r="P1" s="15" t="s">
        <v>124</v>
      </c>
      <c r="Q1" s="15" t="s">
        <v>114</v>
      </c>
    </row>
    <row r="2" spans="1:17" x14ac:dyDescent="0.25">
      <c r="A2" s="5" t="s">
        <v>86</v>
      </c>
      <c r="B2" s="5" t="s">
        <v>24</v>
      </c>
      <c r="C2" s="5" t="s">
        <v>87</v>
      </c>
      <c r="D2" s="5" t="s">
        <v>26</v>
      </c>
      <c r="E2" s="5" t="s">
        <v>27</v>
      </c>
      <c r="F2" s="5" t="s">
        <v>25</v>
      </c>
      <c r="G2" s="5" t="s">
        <v>374</v>
      </c>
      <c r="H2" s="5" t="s">
        <v>375</v>
      </c>
      <c r="I2" s="5" t="s">
        <v>129</v>
      </c>
      <c r="J2" s="5" t="s">
        <v>130</v>
      </c>
      <c r="K2" s="5" t="s">
        <v>376</v>
      </c>
      <c r="L2" s="5" t="s">
        <v>377</v>
      </c>
      <c r="M2" s="5" t="s">
        <v>378</v>
      </c>
      <c r="N2" s="5" t="s">
        <v>379</v>
      </c>
      <c r="O2" s="5" t="s">
        <v>380</v>
      </c>
      <c r="P2" s="5" t="s">
        <v>381</v>
      </c>
      <c r="Q2" s="5" t="s">
        <v>130</v>
      </c>
    </row>
    <row r="3" spans="1:17" x14ac:dyDescent="0.25">
      <c r="A3" s="5" t="s">
        <v>382</v>
      </c>
      <c r="B3" s="5" t="s">
        <v>36</v>
      </c>
      <c r="C3" s="5" t="s">
        <v>383</v>
      </c>
      <c r="D3" s="5" t="s">
        <v>34</v>
      </c>
      <c r="E3" s="5" t="s">
        <v>31</v>
      </c>
      <c r="F3" s="5" t="s">
        <v>30</v>
      </c>
      <c r="G3" s="5" t="s">
        <v>384</v>
      </c>
      <c r="H3" s="5" t="s">
        <v>128</v>
      </c>
      <c r="I3" s="5" t="s">
        <v>385</v>
      </c>
      <c r="J3" s="5" t="s">
        <v>386</v>
      </c>
      <c r="K3" s="5" t="s">
        <v>132</v>
      </c>
      <c r="L3" s="5" t="s">
        <v>133</v>
      </c>
      <c r="M3" s="5" t="s">
        <v>134</v>
      </c>
      <c r="N3" s="5" t="s">
        <v>135</v>
      </c>
      <c r="O3" s="5" t="s">
        <v>136</v>
      </c>
      <c r="P3" s="5" t="s">
        <v>137</v>
      </c>
      <c r="Q3" s="5" t="s">
        <v>386</v>
      </c>
    </row>
    <row r="4" spans="1:17" x14ac:dyDescent="0.25">
      <c r="A4" s="5" t="s">
        <v>387</v>
      </c>
      <c r="B4" s="5" t="s">
        <v>40</v>
      </c>
      <c r="C4" s="5" t="s">
        <v>388</v>
      </c>
      <c r="F4" s="5" t="s">
        <v>33</v>
      </c>
      <c r="G4" s="5" t="s">
        <v>127</v>
      </c>
      <c r="H4" s="5" t="s">
        <v>389</v>
      </c>
      <c r="I4" s="5" t="s">
        <v>390</v>
      </c>
      <c r="J4" s="5" t="s">
        <v>391</v>
      </c>
      <c r="K4" s="5" t="s">
        <v>392</v>
      </c>
      <c r="L4" s="5" t="s">
        <v>393</v>
      </c>
      <c r="M4" s="5" t="s">
        <v>394</v>
      </c>
      <c r="N4" s="5" t="s">
        <v>395</v>
      </c>
      <c r="O4" s="5" t="s">
        <v>396</v>
      </c>
      <c r="P4" s="5" t="s">
        <v>397</v>
      </c>
      <c r="Q4" s="5" t="s">
        <v>391</v>
      </c>
    </row>
    <row r="5" spans="1:17" x14ac:dyDescent="0.25">
      <c r="A5" s="5" t="s">
        <v>398</v>
      </c>
      <c r="B5" s="5" t="s">
        <v>42</v>
      </c>
      <c r="C5" s="5" t="s">
        <v>399</v>
      </c>
      <c r="G5" s="5" t="s">
        <v>400</v>
      </c>
      <c r="H5" s="5" t="s">
        <v>401</v>
      </c>
      <c r="I5" s="5" t="s">
        <v>402</v>
      </c>
      <c r="J5" s="5" t="s">
        <v>403</v>
      </c>
      <c r="K5" s="5" t="s">
        <v>404</v>
      </c>
      <c r="N5" s="5" t="s">
        <v>405</v>
      </c>
      <c r="O5" s="5" t="s">
        <v>406</v>
      </c>
      <c r="P5" s="5" t="s">
        <v>407</v>
      </c>
      <c r="Q5" s="5" t="s">
        <v>403</v>
      </c>
    </row>
    <row r="6" spans="1:17" x14ac:dyDescent="0.25">
      <c r="A6" s="5" t="s">
        <v>408</v>
      </c>
      <c r="H6" s="5" t="s">
        <v>409</v>
      </c>
      <c r="I6" s="5" t="s">
        <v>409</v>
      </c>
      <c r="J6" s="5" t="s">
        <v>410</v>
      </c>
      <c r="N6" s="5" t="s">
        <v>411</v>
      </c>
      <c r="Q6" s="5" t="s">
        <v>410</v>
      </c>
    </row>
    <row r="7" spans="1:17" x14ac:dyDescent="0.25">
      <c r="A7" s="5" t="s">
        <v>412</v>
      </c>
      <c r="J7" s="5" t="s">
        <v>413</v>
      </c>
      <c r="Q7" s="5" t="s">
        <v>413</v>
      </c>
    </row>
    <row r="8" spans="1:17" x14ac:dyDescent="0.25">
      <c r="A8" s="5" t="s">
        <v>414</v>
      </c>
      <c r="J8" s="5" t="s">
        <v>129</v>
      </c>
      <c r="Q8" s="5" t="s">
        <v>409</v>
      </c>
    </row>
    <row r="9" spans="1:17" x14ac:dyDescent="0.25">
      <c r="A9" s="5" t="s">
        <v>406</v>
      </c>
      <c r="Q9" s="5" t="s">
        <v>415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Leeme</vt:lpstr>
      <vt:lpstr>Muestra_Cafes</vt:lpstr>
      <vt:lpstr>Ficha_Cafe</vt:lpstr>
      <vt:lpstr>Encuestas</vt:lpstr>
      <vt:lpstr>Abordajes</vt:lpstr>
      <vt:lpstr>Avance</vt:lpstr>
      <vt:lpstr>Piloto</vt:lpstr>
      <vt:lpstr>Diccionario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Prestamo Estudiantes</cp:lastModifiedBy>
  <cp:revision>0</cp:revision>
  <dcterms:created xsi:type="dcterms:W3CDTF">2026-10-25T23:54:49Z</dcterms:created>
  <dcterms:modified xsi:type="dcterms:W3CDTF">2026-10-26T19:35:48Z</dcterms:modified>
  <dc:language>en-US</dc:language>
</cp:coreProperties>
</file>