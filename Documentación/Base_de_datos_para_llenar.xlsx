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me" sheetId="1" r:id="rId4"/>
    <sheet state="visible" name="Muestra_Cafes" sheetId="2" r:id="rId5"/>
    <sheet state="visible" name="Ficha_Cafe" sheetId="3" r:id="rId6"/>
    <sheet state="visible" name="Encuestas" sheetId="4" r:id="rId7"/>
    <sheet state="visible" name="Avance" sheetId="5" r:id="rId8"/>
    <sheet state="visible" name="Piloto" sheetId="6" r:id="rId9"/>
    <sheet state="visible" name="Diccionario" sheetId="7" r:id="rId10"/>
    <sheet state="visible" name="Listas" sheetId="8" r:id="rId11"/>
  </sheets>
  <definedNames/>
  <calcPr/>
  <extLst>
    <ext uri="GoogleSheetsCustomDataVersion2">
      <go:sheetsCustomData xmlns:go="http://customooxmlschemas.google.com/" r:id="rId12" roundtripDataChecksum="FalkKZPrLECN2zPQjSK0+bWxOzRaZNduF8j/4x0hjM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ID#doco.-PzlpCMewKaN4ciBqdh_7A
Unknown Author    (2026-10-28 13:13:34)
ID único del café (C01–C10; P1–P2 piloto; R1–R4 reemplazos)</t>
      </text>
    </comment>
    <comment authorId="0" ref="B1">
      <text>
        <t xml:space="preserve">======
ID#doco.NYp87tZL6_ibw-_ctnVoXA
Unknown Author    (2026-10-28 13:13:34)
ID del café en el shapefile de la Entrega 3a (NO la dirección; la dirección está en Muestra_Cafes)</t>
      </text>
    </comment>
    <comment authorId="0" ref="D1">
      <text>
        <t xml:space="preserve">======
ID#doco.fxRxSFb9vm86SwpFbYkhSA
Unknown Author    (2026-10-28 13:13:34)
Nombre del negocio</t>
      </text>
    </comment>
    <comment authorId="0" ref="E1">
      <text>
        <t xml:space="preserve">======
ID#doco.44RA_zxTst7wzPZ63qLzKg
Unknown Author    (2026-10-28 13:13:34)
Localidad donde está el café | Valores: Chapinero | Usaquén | Teusaquillo | Barrios Unidos | Santa Fe | La Candelaria | Suba | Otra</t>
      </text>
    </comment>
    <comment authorId="0" ref="F1">
      <text>
        <t xml:space="preserve">======
ID#doco.yB2nYahpFWWr3VFPRzWEoA
Unknown Author    (2026-10-28 13:13:34)
Estrato geográfico del muestreo | Valores: Z1 Parkway–Teusaquillo | Z2 La Macarena | Z3 Centro</t>
      </text>
    </comment>
    <comment authorId="0" ref="G1">
      <text>
        <t xml:space="preserve">======
ID#doco.tP202HCmjtDxBBKAPM2RKA
Unknown Author    (2026-10-28 13:13:34)
Tipo de negocio | Valores: Independiente (1 local) | Pequeña cadena (2–5 locales) | Cadena grande (6+ locales) | Tostadora con cafetería</t>
      </text>
    </comment>
    <comment authorId="0" ref="H1">
      <text>
        <t xml:space="preserve">======
ID#doco.g-Vab85EbO8DA2wtQdhDNg
Unknown Author    (2026-10-28 13:13:34)
Fecha de la visita</t>
      </text>
    </comment>
    <comment authorId="0" ref="I1">
      <text>
        <t xml:space="preserve">======
ID#doco.FVHDxKquYHVjakEduuYbBA
Unknown Author    (2026-10-28 13:13:34)
Tipo de día | Valores: Entre semana | Fin de semana</t>
      </text>
    </comment>
    <comment authorId="0" ref="J1">
      <text>
        <t xml:space="preserve">======
ID#doco.Mu1WgxAcTblfb3eYX44QEA
Unknown Author    (2026-10-28 13:13:34)
Franja horaria de la visita | Valores: Mañana (8–11) | Tarde (14–17)</t>
      </text>
    </comment>
    <comment authorId="0" ref="K1">
      <text>
        <t xml:space="preserve">======
ID#doco.lCcHhrdqVYnbwzmH6SwEOA
Unknown Author    (2026-10-28 13:13:34)
Quién llenó la ficha (A, B o C)</t>
      </text>
    </comment>
    <comment authorId="0" ref="L1">
      <text>
        <t xml:space="preserve">======
ID#doco.5tL2xHO-QEqv9RGNj-Hzxg
Unknown Author    (2026-10-28 13:13:34)
El administrador autorizó la visita y las fotos del espacio (1 = sí, 0 = no)</t>
      </text>
    </comment>
    <comment authorId="0" ref="M1">
      <text>
        <t xml:space="preserve">======
ID#doco.t-qnjPeCJhVuxlXHfbh-AQ
Unknown Author    (2026-10-28 13:13:34)
La carta o menú menciona el origen del café (región, finca o productor) | 1 = presente · 0 = ausente · vacío = no se pudo revisar</t>
      </text>
    </comment>
    <comment authorId="0" ref="N1">
      <text>
        <t xml:space="preserve">======
ID#doco.97PXc8yNSZ1KxpM4F4jGdA
Unknown Author    (2026-10-28 13:13:34)
Hay explicación visible del proceso o método (carteles, pizarra, barra) | 1 = presente · 0 = ausente · vacío = no se pudo revisar</t>
      </text>
    </comment>
    <comment authorId="0" ref="O1">
      <text>
        <t xml:space="preserve">======
ID#doco.TExEh0E8uNqFMRAaq8w6hQ
Unknown Author    (2026-10-28 13:13:34)
La historia o filosofía del negocio es visible en el local (muro, carta, QR) | 1 = presente · 0 = ausente · vacío = no se pudo revisar</t>
      </text>
    </comment>
    <comment authorId="0" ref="P1">
      <text>
        <t xml:space="preserve">======
ID#doco.8LPHm2uFayoMELo22Tntig
Unknown Author    (2026-10-28 13:13:34)
Al preguntar «¿de dónde es este café?», el personal responde con un dato específico (región, finca o productor) | 1 = presente · 0 = ausente · vacío = no se pudo revisar</t>
      </text>
    </comment>
    <comment authorId="0" ref="Q1">
      <text>
        <t xml:space="preserve">======
ID#doco.D-k7pHxGrTF4y6ikOhA22w
Unknown Author    (2026-10-28 13:13:34)
Ofrece catas, talleres, recorridos o experiencias guiadas (anunciadas o disponibles) | 1 = presente · 0 = ausente · vacío = no se pudo revisar</t>
      </text>
    </comment>
    <comment authorId="0" ref="R1">
      <text>
        <t xml:space="preserve">======
ID#doco.xT5NZijD51fFi6ZbC5s3bg
Unknown Author    (2026-10-28 13:13:34)
Vende café en grano o empaque con información de origen y tostión | 1 = presente · 0 = ausente · vacío = no se pudo revisar</t>
      </text>
    </comment>
    <comment authorId="0" ref="S1">
      <text>
        <t xml:space="preserve">======
ID#doco.AHSQ_l-dy9Xnwc4QSLxUGA
Unknown Author    (2026-10-28 13:13:34)
Identidad visual coherente (diseño, colores, logo, mobiliario) | 1 = presente · 0 = ausente · vacío = no se pudo revisar</t>
      </text>
    </comment>
    <comment authorId="0" ref="T1">
      <text>
        <t xml:space="preserve">======
ID#doco.vNTCnrzBb0u0cdGU27C-ug
Unknown Author    (2026-10-28 13:13:34)
Iluminación agradable (natural o cálida) | 1 = presente · 0 = ausente · vacío = no se pudo revisar</t>
      </text>
    </comment>
    <comment authorId="0" ref="U1">
      <text>
        <t xml:space="preserve">======
ID#doco.P98H2stcMo6olYTKBOzOpA
Unknown Author    (2026-10-28 13:13:34)
Música ambiente presente y a un volumen que permite conversar | 1 = presente · 0 = ausente · vacío = no se pudo revisar</t>
      </text>
    </comment>
    <comment authorId="0" ref="V1">
      <text>
        <t xml:space="preserve">======
ID#doco.871ig6HjS_jhRVG8es-lKg
Unknown Author    (2026-10-28 13:13:34)
Aroma a café perceptible al entrar | 1 = presente · 0 = ausente · vacío = no se pudo revisar</t>
      </text>
    </comment>
    <comment authorId="0" ref="W1">
      <text>
        <t xml:space="preserve">======
ID#doco.lSu7BjcKa3QxnphkTra_7g
Unknown Author    (2026-10-28 13:13:34)
Zonas diferenciadas (barra, mesas, zona de trabajo, exterior) | 1 = presente · 0 = ausente · vacío = no se pudo revisar</t>
      </text>
    </comment>
    <comment authorId="0" ref="X1">
      <text>
        <t xml:space="preserve">======
ID#doco.WpIs5wiSYbLjr_UJ3DjRmg
Unknown Author    (2026-10-28 13:13:34)
Mobiliario cómodo (sillas con espaldar, sofás, mesas suficientes) | 1 = presente · 0 = ausente · vacío = no se pudo revisar</t>
      </text>
    </comment>
    <comment authorId="0" ref="Y1">
      <text>
        <t xml:space="preserve">======
ID#doco.r9DkWakp797jjOPAvaUXFQ
Unknown Author    (2026-10-28 13:13:34)
Barra de preparación a la vista del cliente | 1 = presente · 0 = ausente · vacío = no se pudo revisar</t>
      </text>
    </comment>
    <comment authorId="0" ref="Z1">
      <text>
        <t xml:space="preserve">======
ID#doco.ylSkUwTxnnyE7eAkRtk1yQ
Unknown Author    (2026-10-28 13:13:34)
Elementos decorativos alusivos al café (origen, utensilios, plantas, arte) | 1 = presente · 0 = ausente · vacío = no se pudo revisar</t>
      </text>
    </comment>
    <comment authorId="0" ref="AA1">
      <text>
        <t xml:space="preserve">======
ID#doco.ApEApWbBJclNjP9mFxq6uQ
Unknown Author    (2026-10-28 13:13:34)
Índice de storytelling = st1+…+st6 (0–6). Solo se calcula si los 6 ítems están registrados.</t>
      </text>
    </comment>
    <comment authorId="0" ref="AB1">
      <text>
        <t xml:space="preserve">======
ID#doco.539DUT1OgygjKUJjSIpugw
Unknown Author    (2026-10-28 13:13:34)
Índice de ambientación = am1+…+am8 (0–8). Solo se calcula si los 8 ítems están registrados.</t>
      </text>
    </comment>
    <comment authorId="0" ref="AC1">
      <text>
        <t xml:space="preserve">======
ID#doco.WdFn-N1jzgOfFIeeDQI7nQ
Unknown Author    (2026-10-28 13:13:34)
Índice de storytelling reescalado a 0–10</t>
      </text>
    </comment>
    <comment authorId="0" ref="AD1">
      <text>
        <t xml:space="preserve">======
ID#doco.t0AwEvDtJNyHjOQh7LfB1w
Unknown Author    (2026-10-28 13:13:34)
Índice de ambientación reescalado a 0–10</t>
      </text>
    </comment>
    <comment authorId="0" ref="AE1">
      <text>
        <t xml:space="preserve">======
ID#doco.oSLM_1evUukqj8bywytMgw
Unknown Author    (2026-10-28 13:13:34)
Control: cuántos de los 14 ítems (st y am) están registrados. Un ítem vacío NO es un 0.</t>
      </text>
    </comment>
    <comment authorId="0" ref="AF1">
      <text>
        <t xml:space="preserve">======
ID#doco.VnzeLkS8fCydMDKV3QbzVA
Unknown Author    (2026-10-28 13:13:34)
Tiene cuenta de Instagram activa, con al menos una publicación en los últimos 90 días (1 = sí, 0 = no)</t>
      </text>
    </comment>
    <comment authorId="0" ref="AG1">
      <text>
        <t xml:space="preserve">======
ID#doco.g1BuigdMSEOCq1oIARcrrA
Unknown Author    (2026-10-28 13:13:34)
Calificación en Google Maps (1.0–5.0); vacío si no tiene ficha</t>
      </text>
    </comment>
    <comment authorId="0" ref="AH1">
      <text>
        <t xml:space="preserve">======
ID#doco.Y773L-pSTwOAQK6pBBNM4A
Unknown Author    (2026-10-28 13:13:34)
Número de reseñas en Google Maps; vacío si no tiene ficha</t>
      </text>
    </comment>
    <comment authorId="0" ref="AI1">
      <text>
        <t xml:space="preserve">======
ID#doco.bWoEEZ8eImPALhyP28ck5g
Unknown Author    (2026-10-28 13:13:34)
Se tomaron fotos del espacio sin personas identificables (1 = sí, 0 = no)</t>
      </text>
    </comment>
    <comment authorId="0" ref="AJ1">
      <text>
        <t xml:space="preserve">======
ID#doco.aKJhzOUlVK-FPStAsfM4vA
Unknown Author    (2026-10-28 13:13:34)
Observaciones cualitativas (hechos relevantes del lugar o de la visita; ítems que no se pudieron revisar)</t>
      </text>
    </comment>
  </commentList>
  <extLst>
    <ext uri="GoogleSheetsCustomDataVersion2">
      <go:sheetsCustomData xmlns:go="http://customooxmlschemas.google.com/" r:id="rId1" roundtripDataSignature="AMtx7mg/yzlx7lBx+FZ3uCINkpPJqMCGj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ID#doco.2U3fv6SXDJkZ0q7Bc-T9Ng
Unknown Author    (2026-10-28 13:13:34)
ID único de la encuesta (E-cafe-número, p. ej. E-C01-01)</t>
      </text>
    </comment>
    <comment authorId="0" ref="B1">
      <text>
        <t xml:space="preserve">======
ID#doco.qC3UXQXhpfswmWEruPi8Bw
Unknown Author    (2026-10-28 13:13:34)
ID del café donde se hizo la encuesta</t>
      </text>
    </comment>
    <comment authorId="0" ref="C1">
      <text>
        <t xml:space="preserve">======
ID#doco.x-rXrE0rF25zhqFtcPq4gw
Unknown Author    (2026-10-28 13:13:34)
Fecha</t>
      </text>
    </comment>
    <comment authorId="0" ref="D1">
      <text>
        <t xml:space="preserve">======
ID#doco.J-VultWMzU-VEcCXnipsdQ
Unknown Author    (2026-10-28 13:13:34)
Hora de inicio (HH:MM)</t>
      </text>
    </comment>
    <comment authorId="0" ref="E1">
      <text>
        <t xml:space="preserve">======
ID#doco.qfPOYp1ZChHUvFE61EpUaA
Unknown Author    (2026-10-28 13:13:34)
Quién aplicó la encuesta (A, B o C)</t>
      </text>
    </comment>
    <comment authorId="0" ref="F1">
      <text>
        <t xml:space="preserve">======
ID#doco.-aHYCLBRhcFHCvPZ3m5SYQ
Unknown Author    (2026-10-28 13:13:34)
Mayor de 18 años y aceptó participar (1 = sí). Si es 0 no se registra la encuesta.</t>
      </text>
    </comment>
    <comment authorId="0" ref="G1">
      <text>
        <t xml:space="preserve">======
ID#doco.hPxeuS0N0fB8c4zBo8VAeQ
Unknown Author    (2026-10-28 13:13:34)
1. ¿Con qué frecuencia viene a este café? | Primera vez | Menos de 1 vez al mes | 1–3 veces al mes | Semanal o más</t>
      </text>
    </comment>
    <comment authorId="0" ref="H1">
      <text>
        <t xml:space="preserve">======
ID#doco.9Uo1b-9-nfDJeljwYnIj5w
Unknown Author    (2026-10-28 13:13:34)
2. ¿Cuál es el motivo principal de su visita de hoy? | Trabajo o estudio | Reunión social | Probar café de especialidad | Pausa rápida o rutina | Otro</t>
      </text>
    </comment>
    <comment authorId="0" ref="I1">
      <text>
        <t xml:space="preserve">======
ID#doco.cXHuI1H8pVVZIycPSeG1XQ
Unknown Author    (2026-10-28 13:13:34)
3. ¿Cómo conoció este café? | Redes sociales | Recomendación | Pasó por el lugar | Google Maps u otra app | Otro</t>
      </text>
    </comment>
    <comment authorId="0" ref="J1">
      <text>
        <t xml:space="preserve">======
ID#doco.mouT6gQFBWU7x93XggzTkA
Unknown Author    (2026-10-28 13:13:34)
4. ¿Cuánto tiempo planea quedarse hoy? (minutos aproximados)</t>
      </text>
    </comment>
    <comment authorId="0" ref="K1">
      <text>
        <t xml:space="preserve">======
ID#doco.Ao6NC0KUR9Mc9sn4LWt_-w
Unknown Author    (2026-10-28 13:13:34)
13. El ambiente de este café es agradable (1 = totalmente en desacuerdo … 5 = totalmente de acuerdo)</t>
      </text>
    </comment>
    <comment authorId="0" ref="L1">
      <text>
        <t xml:space="preserve">======
ID#doco.w1cW1JkwY9vkzag6OVZGJQ
Unknown Author    (2026-10-28 13:13:34)
14. Este café se siente distinto a otras cafeterías de especialidad (1–5)</t>
      </text>
    </comment>
    <comment authorId="0" ref="N1">
      <text>
        <t xml:space="preserve">======
ID#doco.D6cpPXxSB4fVx8lo19Sk2g
Unknown Author    (2026-10-28 13:13:34)
16. La historia de este café me resulta interesante o me conecta con él (1–5, o NA = no conoce la historia / no aplica)</t>
      </text>
    </comment>
    <comment authorId="0" ref="O1">
      <text>
        <t xml:space="preserve">======
ID#doco.UdXoxLd5y2pO3tVO-coWZQ
Unknown Author    (2026-10-28 13:13:34)
17. La calidad del café aquí es alta (1–5)</t>
      </text>
    </comment>
    <comment authorId="0" ref="P1">
      <text>
        <t xml:space="preserve">======
ID#doco.7o3mbhsfJQRSahCW8QtztQ
Unknown Author    (2026-10-28 13:13:34)
18. La atención aquí es rápida y amable (1–5)</t>
      </text>
    </comment>
    <comment authorId="0" ref="R1">
      <text>
        <t xml:space="preserve">======
ID#doco.OEKZOQTAWoKSAOeliqkKzw
Unknown Author    (2026-10-28 13:13:34)
19. ¿Puede decir de dónde viene el café que toma o algún dato de la historia de este café? (1 = menciona espontáneamente al menos un dato concreto)</t>
      </text>
    </comment>
    <comment authorId="0" ref="S1">
      <text>
        <t xml:space="preserve">======
ID#doco.8fAQiFqAHSRLBT_XkeoWSQ
Unknown Author    (2026-10-28 13:13:34)
20. Del 0 al 10, ¿qué tan probable es que recomiende este café a un amigo?</t>
      </text>
    </comment>
    <comment authorId="0" ref="T1">
      <text>
        <t xml:space="preserve">======
ID#doco.iclSXjizHEcQ16anPgE7jQ
Unknown Author    (2026-10-28 13:13:34)
21. ¿Qué tan probable es que vuelva en los próximos 30 días? (1 = nada probable … 5 = muy probable)</t>
      </text>
    </comment>
    <comment authorId="0" ref="U1">
      <text>
        <t xml:space="preserve">======
ID#doco.9jRGQj7BNZ4GhUKHlCuOYA
Unknown Author    (2026-10-28 13:13:34)
22. Además de este, ¿a cuántas otras cafeterías de especialidad fue el último mes? | Ninguno | 1–2 | 3–5 | 6 o más</t>
      </text>
    </comment>
    <comment authorId="0" ref="V1">
      <text>
        <t xml:space="preserve">======
ID#doco.JmvnjxxJwC-kuBJDOxxlxg
Unknown Author    (2026-10-28 13:13:34)
23. Frente a otras cafeterías de especialidad de la zona, este café es… (PREFERENCIA DECLARADA, no elección observada) | Es mi primera opción | Una de varias opciones | Vine por esta vez</t>
      </text>
    </comment>
    <comment authorId="0" ref="W1">
      <text>
        <t xml:space="preserve">======
ID#doco.9vs2Y660UxFwAwxDfC645g
Unknown Author    (2026-10-28 13:13:34)
Observaciones del encuestador (dudas, interrupciones, preguntas que la persona no quiso responder)</t>
      </text>
    </comment>
  </commentList>
  <extLst>
    <ext uri="GoogleSheetsCustomDataVersion2">
      <go:sheetsCustomData xmlns:go="http://customooxmlschemas.google.com/" r:id="rId1" roundtripDataSignature="AMtx7mh2FdTIFq+368oG3pDpt85usFjqTQ=="/>
    </ext>
  </extLst>
</comments>
</file>

<file path=xl/sharedStrings.xml><?xml version="1.0" encoding="utf-8"?>
<sst xmlns="http://schemas.openxmlformats.org/spreadsheetml/2006/main" count="1033" uniqueCount="418">
  <si>
    <t>BASE DE DATOS A LLENAR · Cafeterías de especialidad en Bogotá</t>
  </si>
  <si>
    <t>Haciendo Economía 2026-2 · Protocolo de trabajo de campo (Entrega 3b) · v1.1 (pre-piloto)</t>
  </si>
  <si>
    <t>PREGUNTA (reformulada como asociación descriptiva)</t>
  </si>
  <si>
    <t>cafe_id</t>
  </si>
  <si>
    <t>enc_id</t>
  </si>
  <si>
    <t>¿Cómo se asocian el storytelling y la ambientación de las cafeterías de especialidad de Bogotá con su diferenciación percibida, la recordación y la preferencia declarada de sus clientes? Los datos describen asociaciones entre cafés; no miden el efecto de «implementar» una estrategia.</t>
  </si>
  <si>
    <t>MUESTRA Y UNIDAD DE ANÁLISIS</t>
  </si>
  <si>
    <t>• Meta: 10 cafés × 8 encuestas = 80 encuestas y 10 fichas de observación. Lista, direcciones y evidencia en Muestra_Cafes.</t>
  </si>
  <si>
    <t>• La unidad de análisis es el CAFÉ (n = 10): las 8 encuestas de cada café se resumen en promedios por café. 80 encuestas en 10 negocios no equivalen a 80 negocios; la muestra es intencional y no representa a toda Bogotá.</t>
  </si>
  <si>
    <t>• Zonas (las tres de la Entrega 1): Z1 Parkway–Teusaquillo (6 cafés), Z2 La Macarena (2) y Z3 Centro (2).</t>
  </si>
  <si>
    <t>• Criterio de especialidad (propuesta; ajústenlo): entra un local si (a) aparece como café de especialidad en al menos una fuente externa verificable (Coffee Master Colombia, Revista Diners 2023, Fondo Cultural Cafetero, SCA) o (b) vende café de origen identificado según su carta o redes, lo que se confirma en la visita. Los locales marcados «Verificar» en Muestra_Cafes deben resolverse antes de salir a campo.</t>
  </si>
  <si>
    <t>zona_muestreo</t>
  </si>
  <si>
    <t>id_mapa</t>
  </si>
  <si>
    <t>• Reemplazos (R1–R4): si el local no autoriza o está cerrado, se pasa a una reserva de la MISMA zona. Se registra en Muestra_Cafes (original: Reemplazado, meta 0; reserva: Pendiente, meta 8).</t>
  </si>
  <si>
    <t>CÓMO USAR ESTE ARCHIVO</t>
  </si>
  <si>
    <t>fecha</t>
  </si>
  <si>
    <t>1. Hoja Ficha_Cafe: una fila por café (observación). Hoja Encuestas: una fila por cliente (meta: 8 por café, 80 en total).</t>
  </si>
  <si>
    <t>coordenadas</t>
  </si>
  <si>
    <t>coordenada</t>
  </si>
  <si>
    <t>hora</t>
  </si>
  <si>
    <t>2. La fila 2 (amarilla, cursiva) de Ficha_Cafe, Encuestas, Abordajes y Piloto es un EJEMPLO de formato. Los datos reales empiezan en la fila 3 y el script de limpieza ignora las filas con «EJEMPLO».</t>
  </si>
  <si>
    <t>3. Los nombres de columna (fila 1) son los nombres de variable del cuestionario y del Diccionario; no los cambie. Pase el mouse sobre el encabezado para ver la pregunta completa. Las columnas del Excel coinciden una a una con el documento «Cuestionario y ficha de observación v1.1».</t>
  </si>
  <si>
    <t>encuestador</t>
  </si>
  <si>
    <t>4. Las columnas grises se calculan solas: no escriba en ellas.</t>
  </si>
  <si>
    <t>nombre_cafe</t>
  </si>
  <si>
    <t>consentimiento</t>
  </si>
  <si>
    <t>5. Valores faltantes: en la ficha, 0 = se buscó y no está; celda VACÍA = no se pudo revisar (nunca escriba 0 por duda). Los índices solo se calculan si todos los ítems del bloque están registrados. En la encuesta, si la persona no quiere responder una pregunta, deje la celda vacía y anótelo en obs_encuestador. En per_historia, «NA» = no conoce la historia.</t>
  </si>
  <si>
    <t>direccion</t>
  </si>
  <si>
    <t>6. Hojas de apoyo: Muestra_Cafes (plan de visitas y reparto), Abordajes (tasa de respuesta), Avance (control automático de metas), Piloto (ajustes y acuerdo entre observadores), Diccionario y Listas.</t>
  </si>
  <si>
    <t>localidad</t>
  </si>
  <si>
    <t>7. Los datos originales NO se editan después de salir de campo: las correcciones se hacen en los scripts de limpieza (carpeta del proyecto, scripts/).</t>
  </si>
  <si>
    <t>freq_visita</t>
  </si>
  <si>
    <t>tipo_negocio</t>
  </si>
  <si>
    <t>8. No se registran nombres, teléfonos, correos ni documentos de los clientes, ni edad, género u ocupación. El único dato nominal es el nombre del negocio.</t>
  </si>
  <si>
    <t>responsable</t>
  </si>
  <si>
    <t>9. Convención de ID: café = C01–C10 · piloto = P1–P2 · reemplazos = R1–R4 · encuesta = E-C01-01 (E - café - número consecutivo).</t>
  </si>
  <si>
    <t>dia_tipo</t>
  </si>
  <si>
    <t>PENDIENTES ANTES DE SALIR A CAMPO</t>
  </si>
  <si>
    <t>franja</t>
  </si>
  <si>
    <t>• Reemplazar id_mapa (M-01…M-10, provisional) por el ID del shapefile de la Entrega 3a; confirmar localidades y tipo_negocio; definir fechas previstas y las reservas R1–R4.</t>
  </si>
  <si>
    <t>fecha_prevista</t>
  </si>
  <si>
    <t>• Resolver los locales marcados «Verificar» y registrar el resultado del piloto (hoja Piloto).</t>
  </si>
  <si>
    <t>meta_encuestas</t>
  </si>
  <si>
    <t>estado</t>
  </si>
  <si>
    <t>motivo_visita</t>
  </si>
  <si>
    <t>CAMBIOS DE v1.0 A v1.1</t>
  </si>
  <si>
    <t>evidencia_especialidad</t>
  </si>
  <si>
    <t>como_conocio</t>
  </si>
  <si>
    <t>• Muestra: 10 cafés con nombre, dirección y evidencia (antes 8 códigos, solo uno con nombre). Meta única: 10 × 8 = 80.</t>
  </si>
  <si>
    <t>minutos_permanencia</t>
  </si>
  <si>
    <t>fuente</t>
  </si>
  <si>
    <t>per_ambiente</t>
  </si>
  <si>
    <t>• Columnas de Ficha_Cafe y Encuestas ajustadas al cuestionario v1.1: se quitaron st7, st8, medidas de precio/ruido/espera, gasto, disposición a pagar, datos demográficos y diferencia_txt/cod, que no están en el cuestionario.</t>
  </si>
  <si>
    <t>per_distintivo</t>
  </si>
  <si>
    <t>C01</t>
  </si>
  <si>
    <t>• Índices: idx_story ahora suma st1–st6 (0–6) y ambos índices quedan vacíos si falta algún ítem. Se reparó Avance (#REF!). El ejemplo ficticio del Piloto se marcó como ejemplo.</t>
  </si>
  <si>
    <t>per_origen</t>
  </si>
  <si>
    <t>per_historia</t>
  </si>
  <si>
    <t>per_calidad</t>
  </si>
  <si>
    <t>per_atencion</t>
  </si>
  <si>
    <t>observador</t>
  </si>
  <si>
    <t>autorizacion_local</t>
  </si>
  <si>
    <t>per_descripcion</t>
  </si>
  <si>
    <t>Z1 Parkway–Teusaquillo</t>
  </si>
  <si>
    <t>recuerda_dato</t>
  </si>
  <si>
    <t>st1</t>
  </si>
  <si>
    <t>M-01</t>
  </si>
  <si>
    <t>nps_recomienda</t>
  </si>
  <si>
    <t>4.631853, -74.073582</t>
  </si>
  <si>
    <t>prob_volver</t>
  </si>
  <si>
    <t>st2</t>
  </si>
  <si>
    <t>n_otros_cafes</t>
  </si>
  <si>
    <t>st3</t>
  </si>
  <si>
    <t>primera_opcion</t>
  </si>
  <si>
    <t>Quipile Café de Origen</t>
  </si>
  <si>
    <t>obs_encuestador</t>
  </si>
  <si>
    <t>st4</t>
  </si>
  <si>
    <t>Cra 24 #42-71</t>
  </si>
  <si>
    <t>st5</t>
  </si>
  <si>
    <t>st6</t>
  </si>
  <si>
    <t>EJEMPLO</t>
  </si>
  <si>
    <t>am1</t>
  </si>
  <si>
    <t>Teusaquillo</t>
  </si>
  <si>
    <t>am2</t>
  </si>
  <si>
    <t>am3</t>
  </si>
  <si>
    <t>Pequeña cadena (2–5 locales)</t>
  </si>
  <si>
    <t>am4</t>
  </si>
  <si>
    <t>am5</t>
  </si>
  <si>
    <t>am6</t>
  </si>
  <si>
    <t>A</t>
  </si>
  <si>
    <t>am7</t>
  </si>
  <si>
    <t>am8</t>
  </si>
  <si>
    <t>Entre semana</t>
  </si>
  <si>
    <t>idx_story</t>
  </si>
  <si>
    <t>09:40</t>
  </si>
  <si>
    <t>idx_amb</t>
  </si>
  <si>
    <t>Mañana (8–11)</t>
  </si>
  <si>
    <t>1–3 veces al mes</t>
  </si>
  <si>
    <t>idx_story_10</t>
  </si>
  <si>
    <t>Reunión social</t>
  </si>
  <si>
    <t>idx_amb_10</t>
  </si>
  <si>
    <t>Redes sociales</t>
  </si>
  <si>
    <t>ficha_completa</t>
  </si>
  <si>
    <t>tiene_instagram</t>
  </si>
  <si>
    <t>NA</t>
  </si>
  <si>
    <t>google_rating</t>
  </si>
  <si>
    <t>google_resenas</t>
  </si>
  <si>
    <t>fotos_ok</t>
  </si>
  <si>
    <t>obs_texto</t>
  </si>
  <si>
    <t>1–2</t>
  </si>
  <si>
    <t>Una de varias opciones</t>
  </si>
  <si>
    <t>Ejemplo de formato: «NA» = no conoce la historia</t>
  </si>
  <si>
    <t>Pendiente</t>
  </si>
  <si>
    <t>Uno de los primeros cafés de especialidad de Bogotá (12 años en el mercado); apoya a caficultores colombianos.</t>
  </si>
  <si>
    <t>M-000</t>
  </si>
  <si>
    <t>https://fondoculturalcafetero.org/nuestros_artistas/quipile-coffee/</t>
  </si>
  <si>
    <t>Café Ejemplo</t>
  </si>
  <si>
    <t>Chapinero</t>
  </si>
  <si>
    <t>Independiente (1 local)</t>
  </si>
  <si>
    <t>Fin de semana</t>
  </si>
  <si>
    <t>C02</t>
  </si>
  <si>
    <t>M-02</t>
  </si>
  <si>
    <t>4.628863, -74.072224</t>
  </si>
  <si>
    <t>Rolo Café PW</t>
  </si>
  <si>
    <t>Cra 22 #40-07</t>
  </si>
  <si>
    <t>B</t>
  </si>
  <si>
    <t>Tarde (14–17)</t>
  </si>
  <si>
    <t>Entrega 1 lo describe por su ambientación (coworking, lectura)</t>
  </si>
  <si>
    <t>https://maps.google.com/?cid=198281915670443191</t>
  </si>
  <si>
    <t>C03</t>
  </si>
  <si>
    <t>M-03</t>
  </si>
  <si>
    <t>4.622475, -74.070058</t>
  </si>
  <si>
    <t>Bogotá Coffee Roasters LAB Cine y Café</t>
  </si>
  <si>
    <t>Tv 17a Bis #35-71</t>
  </si>
  <si>
    <t>C</t>
  </si>
  <si>
    <t>Participante de Coffee Master Colombia; granos de origen y bebidas de autor; organizador y promotor del Coffee Master.</t>
  </si>
  <si>
    <t>https://www.coffeemastercolombia.com/participante/bogota-coffee-roasters-cine-cafe/</t>
  </si>
  <si>
    <t>Mural con mapa de fincas</t>
  </si>
  <si>
    <t>C04</t>
  </si>
  <si>
    <t>M-04</t>
  </si>
  <si>
    <t>4.628731, -74.075306</t>
  </si>
  <si>
    <t>El Bourbon Café</t>
  </si>
  <si>
    <t>Cl 39 #24-36</t>
  </si>
  <si>
    <t>Ofrece varios métodos de preparación de café; formato mixto (tatuajes, vinilos, juegos de mesa).</t>
  </si>
  <si>
    <t>https://www.instagram.com/elbourbon_cafe/</t>
  </si>
  <si>
    <t>encuestas_hechas</t>
  </si>
  <si>
    <t>meta</t>
  </si>
  <si>
    <t>% avance</t>
  </si>
  <si>
    <t>ficha_lista</t>
  </si>
  <si>
    <t>C05</t>
  </si>
  <si>
    <t>M-05</t>
  </si>
  <si>
    <t>4.626248, -74.071168</t>
  </si>
  <si>
    <t>Ezcarlata Café</t>
  </si>
  <si>
    <t>Cra 18 #39A-59</t>
  </si>
  <si>
    <t>Se presenta con especialidad en métodos de filtrado (menú en Issuu). Falta fuente externa.</t>
  </si>
  <si>
    <t>https://issuu.com/ezcarlatacol/docs/menu_ezcarlata</t>
  </si>
  <si>
    <t>C06</t>
  </si>
  <si>
    <t>M-06</t>
  </si>
  <si>
    <t>4.628678, -74.075199</t>
  </si>
  <si>
    <t>Orilla Tienda de Café</t>
  </si>
  <si>
    <t>Cl 39 #24-26</t>
  </si>
  <si>
    <t>Se caracteriza por su café y la cultura caficultora (Entrega 1). Falta fuente externa.</t>
  </si>
  <si>
    <t>https://maps.google.com/?cid=475238163965829388</t>
  </si>
  <si>
    <t>C07</t>
  </si>
  <si>
    <t>Z2 La Macarena</t>
  </si>
  <si>
    <t>M-07</t>
  </si>
  <si>
    <t>4.613318, -74.067341</t>
  </si>
  <si>
    <t>CatCoffee</t>
  </si>
  <si>
    <t>Cra. 6 #26b-61 Loc 1</t>
  </si>
  <si>
    <t>Se enfoca en ofrecer experiencias sensoriales sobre la cultura cafetera. Utilizan granos de alta calidad con los que han destacado y obtenido premios en el Coffee Master Colombia.</t>
  </si>
  <si>
    <r>
      <rPr>
        <rFont val="Arial"/>
        <color rgb="FF1155CC"/>
        <sz val="10.0"/>
        <u/>
      </rPr>
      <t>https://www.instagram.com/catcoffeeco/?hl=es</t>
    </r>
    <r>
      <rPr>
        <rFont val="Arial"/>
        <color rgb="FF1F1F1F"/>
        <sz val="10.0"/>
      </rPr>
      <t xml:space="preserve"> </t>
    </r>
  </si>
  <si>
    <t>Bogotá Coffee Roasters LAB CINE Y CAFÉ</t>
  </si>
  <si>
    <t>C08</t>
  </si>
  <si>
    <t>M-08</t>
  </si>
  <si>
    <t>4.616315, -74.071428</t>
  </si>
  <si>
    <t>Oishii Bubble Tea At 7 Days</t>
  </si>
  <si>
    <t>Cl 28 #13-22 Local 50</t>
  </si>
  <si>
    <t>Santa Fe</t>
  </si>
  <si>
    <t>Negocio mixto: té de burbujas, postres y café de especialidad estilo japonés; 4,6 estrellas en Google Maps.</t>
  </si>
  <si>
    <t>https://wanderboat.ai/restaurants/colombia/bogota%2C-capital-district/oishii-bubble-tea-at-7-days/6cNVwsvYRUufEI_0k1MO2w</t>
  </si>
  <si>
    <t>C09</t>
  </si>
  <si>
    <t>Z3 Centro</t>
  </si>
  <si>
    <t>M-09</t>
  </si>
  <si>
    <t>4.597011, -74.076033</t>
  </si>
  <si>
    <t>Arte y Pasión Café</t>
  </si>
  <si>
    <t>Cl 10 #8-87</t>
  </si>
  <si>
    <t>La Candelaria</t>
  </si>
  <si>
    <t xml:space="preserve">Escuela de baristas en casa colonial; se especializa en notas sensoriales </t>
  </si>
  <si>
    <t>https://arteypasioncafe.com/</t>
  </si>
  <si>
    <t>C10</t>
  </si>
  <si>
    <t>M-10</t>
  </si>
  <si>
    <t>4.600645, -74.073289</t>
  </si>
  <si>
    <t>Nossa Café Pastel</t>
  </si>
  <si>
    <t>Cl 12C #7A-37</t>
  </si>
  <si>
    <t>Pastelería y cafetería de autor que busca el maridaje café–pastel. Con café de especialidad.</t>
  </si>
  <si>
    <t>https://www.instagram.com/somoscafenossapastel/</t>
  </si>
  <si>
    <t>R1</t>
  </si>
  <si>
    <t>R-01</t>
  </si>
  <si>
    <t>4.625624, -74.070087</t>
  </si>
  <si>
    <t>Filtrando Café</t>
  </si>
  <si>
    <t>Cra. 17 #39a 8</t>
  </si>
  <si>
    <t>Reserva</t>
  </si>
  <si>
    <t>Cafeteria dedicada a cultivar la cultura cafetera en Bogotá, realizan recorridos y catas únicas en su establecimiento</t>
  </si>
  <si>
    <t>https://www.instagram.com/filtrandocafes/</t>
  </si>
  <si>
    <t>R2</t>
  </si>
  <si>
    <t>R-02</t>
  </si>
  <si>
    <t>4.615197, -74.071853</t>
  </si>
  <si>
    <t>Terracota Café y Más</t>
  </si>
  <si>
    <t>Kr 13 #27-00</t>
  </si>
  <si>
    <t>Premiada en Coffee Master Colombia: 1.er lugar 2024, 2.º 2025 y 3.º 2026; ofrece experiencias sensoriales sobre cultura cafetera.</t>
  </si>
  <si>
    <t>https://terracotacafeymas.com/</t>
  </si>
  <si>
    <t>R3</t>
  </si>
  <si>
    <t>R-03</t>
  </si>
  <si>
    <t>4.598687, -74.069792</t>
  </si>
  <si>
    <t>Café Nos</t>
  </si>
  <si>
    <t>Cl. 12d #3 15</t>
  </si>
  <si>
    <t>Con una variedad inmensa de bebidas por probar, café nos tiene una estética minimalista, bebidas de autor.</t>
  </si>
  <si>
    <t>https://www.instagram.com/cafe.noscol?igsh=Z2hwYWNua2lzNnRy</t>
  </si>
  <si>
    <t>Notas: (1) Lista tomada de las «Cafeterías de estudio» de la Entrega 1. (2) id_mapa M-01…M-10 es PROVISIONAL: reemplácelo por el ID del shapefile de la Entrega 3a; la dirección va en su propia columna. (3) Responsable, día y franja son una propuesta balanceada (5 entre semana / 5 fin de semana; 5 mañana / 5 tarde; A=4, B=3, C=3). (4) «Verificar» = aún sin fuente externa que lo clasifique como de especialidad: se resuelve antes de salir a campo (ver criterio en Leeme).</t>
  </si>
  <si>
    <r>
      <rPr>
        <rFont val="Arial"/>
        <b/>
        <color rgb="FFFFFFFF"/>
        <sz val="10.0"/>
      </rPr>
      <t>F</t>
    </r>
    <r>
      <rPr>
        <rFont val="Arial"/>
        <b/>
        <color rgb="FF000000"/>
        <sz val="10.0"/>
      </rPr>
      <t>Ficha cafe</t>
    </r>
  </si>
  <si>
    <t>TOTAL</t>
  </si>
  <si>
    <t>74.0703567,4.6159643,0</t>
  </si>
  <si>
    <t>El sitio se ve comodo, buena iluminacion.</t>
  </si>
  <si>
    <t>Encuestas</t>
  </si>
  <si>
    <t>Meta: 10 cafés × 8 encuestas = 80. Si se activa una reserva (R1–R4), ponga meta 0 y estado «Reemplazado» al local original en Muestra_Cafes, y meta 8 y estado «Pendiente» a la reserva: el total sigue en 80.</t>
  </si>
  <si>
    <t>P0-1</t>
  </si>
  <si>
    <t>Primera vez</t>
  </si>
  <si>
    <t>Probar cafe de especialidad</t>
  </si>
  <si>
    <t>Google maps u otra app</t>
  </si>
  <si>
    <t>30-60 minutos</t>
  </si>
  <si>
    <t>3 a 5</t>
  </si>
  <si>
    <t>Ninguna</t>
  </si>
  <si>
    <t>Observaciones</t>
  </si>
  <si>
    <t>TIEMPO QUE TOMO RESOLVER LA FICHA:</t>
  </si>
  <si>
    <t>5 min aprox</t>
  </si>
  <si>
    <t>TIEMPO QUE TOMO RESOLVER LA ENCUESTA:</t>
  </si>
  <si>
    <t>variable</t>
  </si>
  <si>
    <t>hoja</t>
  </si>
  <si>
    <t>bloque</t>
  </si>
  <si>
    <t>pregunta o ítem</t>
  </si>
  <si>
    <t>tipo</t>
  </si>
  <si>
    <t>valores permitidos</t>
  </si>
  <si>
    <t>obligatoria</t>
  </si>
  <si>
    <t>uso en el análisis</t>
  </si>
  <si>
    <t>Ficha_Cafe</t>
  </si>
  <si>
    <t>Identificación</t>
  </si>
  <si>
    <t>ID único del café (C01–C10; P1–P2 piloto; R1–R4 reemplazos)</t>
  </si>
  <si>
    <t>texto</t>
  </si>
  <si>
    <t>libre</t>
  </si>
  <si>
    <t>Sí</t>
  </si>
  <si>
    <t>Llave de unión con Encuestas (unidad de análisis: el café)</t>
  </si>
  <si>
    <t>ID del café en el shapefile de la Entrega 3a (no la dirección)</t>
  </si>
  <si>
    <t>Unión con el mapa y los análisis espaciales</t>
  </si>
  <si>
    <t>Nombre del negocio</t>
  </si>
  <si>
    <t>Identificación (único dato nominal)</t>
  </si>
  <si>
    <t>Localidad donde está el café</t>
  </si>
  <si>
    <t>categórica</t>
  </si>
  <si>
    <t>Chapinero | Usaquén | Teusaquillo | Barrios Unidos | Santa Fe | La Candelaria | Suba | Otra</t>
  </si>
  <si>
    <t>Descriptivo / control</t>
  </si>
  <si>
    <t>Estrato geográfico del muestreo</t>
  </si>
  <si>
    <t>Z1 Parkway–Teusaquillo | Z2 La Macarena | Z3 Centro</t>
  </si>
  <si>
    <t>Comparaciones por zona</t>
  </si>
  <si>
    <t>Tipo de negocio</t>
  </si>
  <si>
    <t>Independiente (1 local) | Pequeña cadena (2–5 locales) | Cadena grande (6+ locales) | Tostadora con cafetería</t>
  </si>
  <si>
    <t>Control / comparación por modelo de negocio</t>
  </si>
  <si>
    <t>Fecha de la visita</t>
  </si>
  <si>
    <t>Control de campo</t>
  </si>
  <si>
    <t>Tipo de día</t>
  </si>
  <si>
    <t>Entre semana | Fin de semana</t>
  </si>
  <si>
    <t>Control (afluencia y perfil de clientes)</t>
  </si>
  <si>
    <t>Franja horaria de la visita</t>
  </si>
  <si>
    <t>Mañana (8–11) | Tarde (14–17)</t>
  </si>
  <si>
    <t>Control</t>
  </si>
  <si>
    <t>Quién llenó la ficha (A, B o C)</t>
  </si>
  <si>
    <t>A | B | C</t>
  </si>
  <si>
    <t>Control de calidad / acuerdo entre observadores</t>
  </si>
  <si>
    <t>El administrador autorizó la visita y las fotos del espacio (1 = sí)</t>
  </si>
  <si>
    <t>binaria</t>
  </si>
  <si>
    <t>1 = sí · 0 = no</t>
  </si>
  <si>
    <t>Control ético; activa reemplazos</t>
  </si>
  <si>
    <t>Storytelling</t>
  </si>
  <si>
    <t>La carta o menú menciona el origen del café (región, finca o productor)</t>
  </si>
  <si>
    <t>1 = presente · 0 = ausente · vacío = no se pudo revisar</t>
  </si>
  <si>
    <t>Índice de storytelling (variable explicativa)</t>
  </si>
  <si>
    <t>Hay explicación visible del proceso o método (carteles, pizarra, barra)</t>
  </si>
  <si>
    <t>La historia o filosofía del negocio es visible en el local (muro, carta, QR)</t>
  </si>
  <si>
    <t>Al preguntar «¿de dónde es este café?», el personal responde con un dato específico (región, finca o productor)</t>
  </si>
  <si>
    <t>Ofrece catas, talleres, recorridos o experiencias guiadas (anunciadas o disponibles)</t>
  </si>
  <si>
    <t>Vende café en grano o empaque con información de origen y tostión</t>
  </si>
  <si>
    <t>Ambientación</t>
  </si>
  <si>
    <t>Identidad visual coherente (diseño, colores, logo, mobiliario)</t>
  </si>
  <si>
    <t>Índice de ambientación (variable explicativa)</t>
  </si>
  <si>
    <t>Iluminación agradable (natural o cálida)</t>
  </si>
  <si>
    <t>Música ambiente presente y a un volumen que permite conversar</t>
  </si>
  <si>
    <t>Aroma a café perceptible al entrar</t>
  </si>
  <si>
    <t>Zonas diferenciadas (barra, mesas, zona de trabajo, exterior)</t>
  </si>
  <si>
    <t>Mobiliario cómodo (sillas con espaldar, sofás, mesas suficientes)</t>
  </si>
  <si>
    <t>Barra de preparación a la vista del cliente</t>
  </si>
  <si>
    <t>Elementos decorativos alusivos al café (origen, utensilios, plantas, arte)</t>
  </si>
  <si>
    <t>Índices (se calculan solos)</t>
  </si>
  <si>
    <t>Índice de storytelling = st1+…+st6 (0–6); vacío si falta algún ítem</t>
  </si>
  <si>
    <t>calculada</t>
  </si>
  <si>
    <t>fórmula automática</t>
  </si>
  <si>
    <t>Auto</t>
  </si>
  <si>
    <t>Variable explicativa principal (pesos iguales; se reportan también los ítems por separado)</t>
  </si>
  <si>
    <t>Índice de ambientación = am1+…+am8 (0–8); vacío si falta algún ítem</t>
  </si>
  <si>
    <t>Índice de storytelling reescalado 0–10</t>
  </si>
  <si>
    <t>Presentación en gráficos y tablas</t>
  </si>
  <si>
    <t>Índice de ambientación reescalado 0–10</t>
  </si>
  <si>
    <t>Control: cuántos de los 14 ítems están registrados</t>
  </si>
  <si>
    <t>Distingue fichas incompletas de ceros reales</t>
  </si>
  <si>
    <t>Presencia digital</t>
  </si>
  <si>
    <t>Tiene cuenta de Instagram activa (publicación en los últimos 90 días) (1 = sí)</t>
  </si>
  <si>
    <t>Relación experiencia física–presencia digital</t>
  </si>
  <si>
    <t>Calificación en Google Maps (1.0–5.0)</t>
  </si>
  <si>
    <t>numérica</t>
  </si>
  <si>
    <t>1–5</t>
  </si>
  <si>
    <t>No</t>
  </si>
  <si>
    <t>Posicionamiento digital (dato público)</t>
  </si>
  <si>
    <t>Número de reseñas en Google Maps</t>
  </si>
  <si>
    <t>≥ 0</t>
  </si>
  <si>
    <t>Notas y evidencia</t>
  </si>
  <si>
    <t>Se tomaron fotos del espacio sin personas identificables (1 = sí)</t>
  </si>
  <si>
    <t>Control ético y de evidencia</t>
  </si>
  <si>
    <t>Observaciones cualitativas (hechos relevantes; ítems no revisados)</t>
  </si>
  <si>
    <t>Informe de trabajo de campo (Entrega 4)</t>
  </si>
  <si>
    <t>ID único de la encuesta (E-cafe-número, p. ej. E-C01-01)</t>
  </si>
  <si>
    <t>Llave primaria</t>
  </si>
  <si>
    <t>ID del café donde se hizo la encuesta</t>
  </si>
  <si>
    <t>C01–C10, R1–R4, P1–P2</t>
  </si>
  <si>
    <t>Unión con Ficha_Cafe</t>
  </si>
  <si>
    <t>Fecha</t>
  </si>
  <si>
    <t>Hora de inicio (HH:MM)</t>
  </si>
  <si>
    <t>Control (hora del día)</t>
  </si>
  <si>
    <t>Quién aplicó la encuesta (A, B o C)</t>
  </si>
  <si>
    <t>Control de calidad</t>
  </si>
  <si>
    <t>La persona es mayor de edad y aceptó participar (1 = sí)</t>
  </si>
  <si>
    <t>Solo se registra la encuesta si es 1</t>
  </si>
  <si>
    <t>A. Su visita</t>
  </si>
  <si>
    <t>1. ¿Con qué frecuencia viene a este café?</t>
  </si>
  <si>
    <t>Primera vez | Menos de 1 vez al mes | 1–3 veces al mes | Semanal o más</t>
  </si>
  <si>
    <t>Control de lealtad previa; descriptivo de demanda</t>
  </si>
  <si>
    <t>2. ¿Cuál es el motivo principal de su visita de hoy?</t>
  </si>
  <si>
    <t>Trabajo o estudio | Reunión social | Probar café de especialidad | Pausa rápida o rutina | Otro</t>
  </si>
  <si>
    <t>Segmentación por motivo de consumo</t>
  </si>
  <si>
    <t>3. ¿Cómo conoció este café?</t>
  </si>
  <si>
    <t>Redes sociales | Recomendación | Pasó por el lugar | Google Maps u otra app | Otro</t>
  </si>
  <si>
    <t>Experiencia física vs. presencia digital</t>
  </si>
  <si>
    <t>4. ¿Cuánto tiempo planea quedarse hoy? (minutos aproximados)</t>
  </si>
  <si>
    <t>Descriptivo de uso del espacio</t>
  </si>
  <si>
    <t>C. Su percepción de ESTE café (1–5)</t>
  </si>
  <si>
    <t>13. El ambiente de este café es agradable</t>
  </si>
  <si>
    <t>escala 1–5</t>
  </si>
  <si>
    <t>1, 2, 3, 4, 5</t>
  </si>
  <si>
    <t>Percepción de ambientación (se contrasta con idx_amb)</t>
  </si>
  <si>
    <t>14. Este café se siente distinto a otras cafeterías de especialidad</t>
  </si>
  <si>
    <t>Diferenciación percibida (resultado)</t>
  </si>
  <si>
    <t>C. Su percepción de ESTE café (1=si - 0=no)</t>
  </si>
  <si>
    <t>15. En este café me han explicado o he podido conocer el origen del café</t>
  </si>
  <si>
    <t>Percepción de storytelling (se contrasta con idx_story)</t>
  </si>
  <si>
    <t>16. La historia de este café me resulta interesante o me conecta con él</t>
  </si>
  <si>
    <t>escala 1–5 + NA</t>
  </si>
  <si>
    <t>1, 2, 3, 4, 5 | NA = no conoce la historia / no aplica (se trata como dato faltante)</t>
  </si>
  <si>
    <t>Percepción de storytelling (resultado/contraste)</t>
  </si>
  <si>
    <t>17. La calidad del café aquí es alta</t>
  </si>
  <si>
    <t>Control de calidad percibida</t>
  </si>
  <si>
    <t>18. La atención aquí es rápida y amable</t>
  </si>
  <si>
    <t>Control de servicio percibido</t>
  </si>
  <si>
    <t>19. ¿Puede decir de dónde viene el café que toma o algún dato de la historia de este café? (1 = menciona espontáneamente al menos un dato concreto)</t>
  </si>
  <si>
    <t>Recordación (resultado)</t>
  </si>
  <si>
    <t>D. Recomendación y preferencia declarada</t>
  </si>
  <si>
    <t>20. Del 0 al 10, ¿qué tan probable es que recomiende este café a un amigo?</t>
  </si>
  <si>
    <t>escala 0–10</t>
  </si>
  <si>
    <t>0 a 10</t>
  </si>
  <si>
    <t>Intención de recomendar (resultado declarado)</t>
  </si>
  <si>
    <t>21. ¿Qué tan probable es que vuelva en los próximos 30 días? (1 = nada probable … 5 = muy probable)</t>
  </si>
  <si>
    <t>Intención de volver (resultado declarado)</t>
  </si>
  <si>
    <t>22. Además de este, ¿a cuántas otras cafeterías de especialidad fue el último mes?</t>
  </si>
  <si>
    <t>Ninguno | 1–2 | 3–5 | 6 o más</t>
  </si>
  <si>
    <t>Alternativas disponibles / intensidad de competencia</t>
  </si>
  <si>
    <t>23. Frente a otras cafeterías de especialidad de la zona, este café es…</t>
  </si>
  <si>
    <t>Es mi primera opción | Una de varias opciones | Vine por esta vez</t>
  </si>
  <si>
    <t>Preferencia DECLARADA (no es elección observada)</t>
  </si>
  <si>
    <t>Cierre</t>
  </si>
  <si>
    <t>Observaciones del encuestador (dudas, interrupciones, preguntas no respondidas)</t>
  </si>
  <si>
    <t>Control de calidad / informe de campo</t>
  </si>
  <si>
    <t>persona</t>
  </si>
  <si>
    <t>factor</t>
  </si>
  <si>
    <t>estado_muestra</t>
  </si>
  <si>
    <t>Trabajo o estudio</t>
  </si>
  <si>
    <t>Calidad del café</t>
  </si>
  <si>
    <t>Ninguno</t>
  </si>
  <si>
    <t>Es mi primera opción</t>
  </si>
  <si>
    <t>Usaquén</t>
  </si>
  <si>
    <t>Menos de 1 vez al mes</t>
  </si>
  <si>
    <t>Recomendación</t>
  </si>
  <si>
    <t>Ambiente</t>
  </si>
  <si>
    <t>1 a 2</t>
  </si>
  <si>
    <t>Visitado</t>
  </si>
  <si>
    <t>Cadena grande (6+ locales)</t>
  </si>
  <si>
    <t>Probar café de especialidad</t>
  </si>
  <si>
    <t>Pasó por el lugar</t>
  </si>
  <si>
    <t>Historia y origen</t>
  </si>
  <si>
    <t>Vine por esta vez</t>
  </si>
  <si>
    <t>Reemplazado</t>
  </si>
  <si>
    <t>Barrios Unidos</t>
  </si>
  <si>
    <t>Tostadora con cafetería</t>
  </si>
  <si>
    <t>Semanal o más</t>
  </si>
  <si>
    <t>Pausa rápida o rutina</t>
  </si>
  <si>
    <t>Google Maps u otra app</t>
  </si>
  <si>
    <t>Atención</t>
  </si>
  <si>
    <t>6 o más</t>
  </si>
  <si>
    <t>Piloto</t>
  </si>
  <si>
    <t>Otro</t>
  </si>
  <si>
    <t>Precio</t>
  </si>
  <si>
    <t>Ubicación</t>
  </si>
  <si>
    <t>Suba</t>
  </si>
  <si>
    <t>Otra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</si>
</sst>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0.0"/>
  </numFmts>
  <fonts count="12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i/>
      <sz val="10.0"/>
      <color rgb="FF7F7F7F"/>
      <name val="Arial"/>
    </font>
    <font>
      <u/>
      <sz val="10.0"/>
      <color rgb="FF0000FF"/>
      <name val="Arial"/>
    </font>
    <font>
      <sz val="10.0"/>
      <color rgb="FF666666"/>
      <name val="Arial"/>
    </font>
    <font>
      <i/>
      <u/>
      <sz val="10.0"/>
      <color rgb="FF0000FF"/>
      <name val="Arial"/>
    </font>
    <font>
      <i/>
      <sz val="10.0"/>
      <color rgb="FF999999"/>
      <name val="Arial"/>
    </font>
    <font>
      <i/>
      <sz val="9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E342E"/>
        <bgColor rgb="FF4E342E"/>
      </patternFill>
    </fill>
    <fill>
      <patternFill patternType="solid">
        <fgColor rgb="FF8D6E63"/>
        <bgColor rgb="FF8D6E63"/>
      </patternFill>
    </fill>
    <fill>
      <patternFill patternType="solid">
        <fgColor rgb="FFFFF9C4"/>
        <bgColor rgb="FFFFF9C4"/>
      </patternFill>
    </fill>
    <fill>
      <patternFill patternType="solid">
        <fgColor rgb="FFE0E0E0"/>
        <bgColor rgb="FFE0E0E0"/>
      </patternFill>
    </fill>
  </fills>
  <borders count="3">
    <border/>
    <border>
      <left/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0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164" xfId="0" applyAlignment="1" applyBorder="1" applyFill="1" applyFont="1" applyNumberFormat="1">
      <alignment shrinkToFit="0" vertical="bottom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top" wrapText="1"/>
    </xf>
    <xf borderId="1" fillId="5" fontId="5" numFmtId="166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1" fillId="5" fontId="5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5" fontId="2" numFmtId="166" xfId="0" applyAlignment="1" applyBorder="1" applyFill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/>
    </xf>
    <xf borderId="0" fillId="0" fontId="5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1" numFmtId="20" xfId="0" applyAlignment="1" applyFont="1" applyNumberFormat="1">
      <alignment readingOrder="0"/>
    </xf>
    <xf borderId="1" fillId="2" fontId="4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FE0B2"/>
          <bgColor rgb="FFFFE0B2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filtrandocafes/" TargetMode="External"/><Relationship Id="rId10" Type="http://schemas.openxmlformats.org/officeDocument/2006/relationships/hyperlink" Target="https://www.instagram.com/somoscafenossapastel/" TargetMode="External"/><Relationship Id="rId13" Type="http://schemas.openxmlformats.org/officeDocument/2006/relationships/hyperlink" Target="https://www.instagram.com/cafe.noscol?igsh=Z2hwYWNua2lzNnRy" TargetMode="External"/><Relationship Id="rId12" Type="http://schemas.openxmlformats.org/officeDocument/2006/relationships/hyperlink" Target="https://terracotacafeymas.com/" TargetMode="External"/><Relationship Id="rId1" Type="http://schemas.openxmlformats.org/officeDocument/2006/relationships/hyperlink" Target="https://fondoculturalcafetero.org/nuestros_artistas/quipile-coffee/" TargetMode="External"/><Relationship Id="rId2" Type="http://schemas.openxmlformats.org/officeDocument/2006/relationships/hyperlink" Target="https://maps.google.com/?cid=198281915670443191" TargetMode="External"/><Relationship Id="rId3" Type="http://schemas.openxmlformats.org/officeDocument/2006/relationships/hyperlink" Target="https://www.coffeemastercolombia.com/participante/bogota-coffee-roasters-cine-cafe/" TargetMode="External"/><Relationship Id="rId4" Type="http://schemas.openxmlformats.org/officeDocument/2006/relationships/hyperlink" Target="https://www.instagram.com/elbourbon_cafe/" TargetMode="External"/><Relationship Id="rId9" Type="http://schemas.openxmlformats.org/officeDocument/2006/relationships/hyperlink" Target="https://arteypasioncafe.com/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issuu.com/ezcarlatacol/docs/menu_ezcarlata" TargetMode="External"/><Relationship Id="rId6" Type="http://schemas.openxmlformats.org/officeDocument/2006/relationships/hyperlink" Target="https://maps.google.com/?cid=475238163965829388" TargetMode="External"/><Relationship Id="rId7" Type="http://schemas.openxmlformats.org/officeDocument/2006/relationships/hyperlink" Target="https://www.instagram.com/catcoffeeco/?hl=es" TargetMode="External"/><Relationship Id="rId8" Type="http://schemas.openxmlformats.org/officeDocument/2006/relationships/hyperlink" Target="https://wanderboat.ai/restaurants/colombia/bogota%2C-capital-district/oishii-bubble-tea-at-7-days/6cNVwsvYRUufEI_0k1MO2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3" t="s">
        <v>2</v>
      </c>
    </row>
    <row r="5">
      <c r="A5" s="2" t="s">
        <v>5</v>
      </c>
    </row>
    <row r="6">
      <c r="A6" s="2"/>
    </row>
    <row r="7">
      <c r="A7" s="3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13</v>
      </c>
    </row>
    <row r="13">
      <c r="A13" s="2"/>
    </row>
    <row r="14">
      <c r="A14" s="3" t="s">
        <v>14</v>
      </c>
    </row>
    <row r="15">
      <c r="A15" s="2" t="s">
        <v>16</v>
      </c>
    </row>
    <row r="16">
      <c r="A16" s="2" t="s">
        <v>20</v>
      </c>
    </row>
    <row r="17">
      <c r="A17" s="2" t="s">
        <v>21</v>
      </c>
    </row>
    <row r="18">
      <c r="A18" s="2" t="s">
        <v>23</v>
      </c>
    </row>
    <row r="19">
      <c r="A19" s="2" t="s">
        <v>26</v>
      </c>
    </row>
    <row r="20">
      <c r="A20" s="2" t="s">
        <v>28</v>
      </c>
    </row>
    <row r="21" ht="15.75" customHeight="1">
      <c r="A21" s="2" t="s">
        <v>30</v>
      </c>
    </row>
    <row r="22" ht="15.75" customHeight="1">
      <c r="A22" s="2" t="s">
        <v>33</v>
      </c>
    </row>
    <row r="23" ht="15.75" customHeight="1">
      <c r="A23" s="2" t="s">
        <v>35</v>
      </c>
    </row>
    <row r="24" ht="15.75" customHeight="1">
      <c r="A24" s="2"/>
    </row>
    <row r="25" ht="15.75" customHeight="1">
      <c r="A25" s="3" t="s">
        <v>37</v>
      </c>
    </row>
    <row r="26" ht="15.75" customHeight="1">
      <c r="A26" s="2" t="s">
        <v>39</v>
      </c>
    </row>
    <row r="27" ht="15.75" customHeight="1">
      <c r="A27" s="2" t="s">
        <v>41</v>
      </c>
    </row>
    <row r="28" ht="15.75" customHeight="1">
      <c r="A28" s="2"/>
    </row>
    <row r="29" ht="15.75" customHeight="1">
      <c r="A29" s="3" t="s">
        <v>45</v>
      </c>
    </row>
    <row r="30" ht="15.75" customHeight="1">
      <c r="A30" s="2" t="s">
        <v>48</v>
      </c>
    </row>
    <row r="31" ht="15.75" customHeight="1">
      <c r="A31" s="2" t="s">
        <v>52</v>
      </c>
    </row>
    <row r="32" ht="15.75" customHeight="1">
      <c r="A32" s="2" t="s">
        <v>55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9.0"/>
    <col customWidth="1" min="2" max="2" width="24.0"/>
    <col customWidth="1" min="3" max="3" width="10.0"/>
    <col customWidth="1" min="4" max="4" width="19.71"/>
    <col customWidth="1" min="5" max="5" width="32.0"/>
    <col customWidth="1" min="6" max="6" width="22.0"/>
    <col customWidth="1" min="7" max="7" width="15.0"/>
    <col customWidth="1" min="8" max="8" width="24.0"/>
    <col customWidth="1" min="9" max="9" width="12.0"/>
    <col customWidth="1" min="10" max="10" width="14.0"/>
    <col customWidth="1" min="11" max="11" width="16.0"/>
    <col customWidth="1" min="12" max="12" width="14.0"/>
    <col customWidth="1" min="13" max="13" width="10.0"/>
    <col customWidth="1" min="14" max="14" width="13.0"/>
    <col customWidth="1" min="15" max="15" width="52.0"/>
    <col customWidth="1" min="16" max="16" width="44.0"/>
    <col customWidth="1" min="17" max="25" width="8.71"/>
  </cols>
  <sheetData>
    <row r="1" ht="30.0" customHeight="1">
      <c r="A1" s="4" t="s">
        <v>3</v>
      </c>
      <c r="B1" s="4" t="s">
        <v>11</v>
      </c>
      <c r="C1" s="4" t="s">
        <v>12</v>
      </c>
      <c r="D1" s="5" t="s">
        <v>17</v>
      </c>
      <c r="E1" s="4" t="s">
        <v>24</v>
      </c>
      <c r="F1" s="4" t="s">
        <v>27</v>
      </c>
      <c r="G1" s="4" t="s">
        <v>29</v>
      </c>
      <c r="H1" s="4" t="s">
        <v>32</v>
      </c>
      <c r="I1" s="4" t="s">
        <v>34</v>
      </c>
      <c r="J1" s="4" t="s">
        <v>36</v>
      </c>
      <c r="K1" s="4" t="s">
        <v>38</v>
      </c>
      <c r="L1" s="4" t="s">
        <v>40</v>
      </c>
      <c r="M1" s="4" t="s">
        <v>42</v>
      </c>
      <c r="N1" s="4" t="s">
        <v>43</v>
      </c>
      <c r="O1" s="4" t="s">
        <v>46</v>
      </c>
      <c r="P1" s="4" t="s">
        <v>50</v>
      </c>
    </row>
    <row r="2">
      <c r="A2" s="7" t="s">
        <v>54</v>
      </c>
      <c r="B2" s="7" t="s">
        <v>63</v>
      </c>
      <c r="C2" s="7" t="s">
        <v>66</v>
      </c>
      <c r="D2" s="9" t="s">
        <v>68</v>
      </c>
      <c r="E2" s="2" t="s">
        <v>74</v>
      </c>
      <c r="F2" s="2" t="s">
        <v>77</v>
      </c>
      <c r="G2" s="7" t="s">
        <v>82</v>
      </c>
      <c r="H2" s="9" t="s">
        <v>85</v>
      </c>
      <c r="I2" s="7" t="s">
        <v>89</v>
      </c>
      <c r="J2" s="7" t="s">
        <v>92</v>
      </c>
      <c r="K2" s="7" t="s">
        <v>96</v>
      </c>
      <c r="L2" s="12">
        <v>46331.0</v>
      </c>
      <c r="M2" s="7">
        <v>8.0</v>
      </c>
      <c r="N2" s="7" t="s">
        <v>112</v>
      </c>
      <c r="O2" s="2" t="s">
        <v>113</v>
      </c>
      <c r="P2" s="15" t="s">
        <v>115</v>
      </c>
    </row>
    <row r="3">
      <c r="A3" s="7" t="s">
        <v>120</v>
      </c>
      <c r="B3" s="7" t="s">
        <v>63</v>
      </c>
      <c r="C3" s="7" t="s">
        <v>121</v>
      </c>
      <c r="D3" s="9" t="s">
        <v>122</v>
      </c>
      <c r="E3" s="2" t="s">
        <v>123</v>
      </c>
      <c r="F3" s="2" t="s">
        <v>124</v>
      </c>
      <c r="G3" s="7" t="s">
        <v>82</v>
      </c>
      <c r="H3" s="9" t="s">
        <v>118</v>
      </c>
      <c r="I3" s="7" t="s">
        <v>125</v>
      </c>
      <c r="J3" s="7" t="s">
        <v>92</v>
      </c>
      <c r="K3" s="7" t="s">
        <v>126</v>
      </c>
      <c r="L3" s="12">
        <v>46331.0</v>
      </c>
      <c r="M3" s="7">
        <v>8.0</v>
      </c>
      <c r="N3" s="7" t="s">
        <v>112</v>
      </c>
      <c r="O3" s="17" t="s">
        <v>127</v>
      </c>
      <c r="P3" s="15" t="s">
        <v>128</v>
      </c>
    </row>
    <row r="4">
      <c r="A4" s="7" t="s">
        <v>129</v>
      </c>
      <c r="B4" s="7" t="s">
        <v>63</v>
      </c>
      <c r="C4" s="7" t="s">
        <v>130</v>
      </c>
      <c r="D4" s="9" t="s">
        <v>131</v>
      </c>
      <c r="E4" s="2" t="s">
        <v>132</v>
      </c>
      <c r="F4" s="2" t="s">
        <v>133</v>
      </c>
      <c r="G4" s="7" t="s">
        <v>82</v>
      </c>
      <c r="H4" s="9" t="s">
        <v>118</v>
      </c>
      <c r="I4" s="7" t="s">
        <v>134</v>
      </c>
      <c r="J4" s="18" t="s">
        <v>92</v>
      </c>
      <c r="K4" s="7" t="s">
        <v>96</v>
      </c>
      <c r="L4" s="12">
        <v>46331.0</v>
      </c>
      <c r="M4" s="7">
        <v>8.0</v>
      </c>
      <c r="N4" s="7" t="s">
        <v>112</v>
      </c>
      <c r="O4" s="2" t="s">
        <v>135</v>
      </c>
      <c r="P4" s="15" t="s">
        <v>136</v>
      </c>
    </row>
    <row r="5">
      <c r="A5" s="7" t="s">
        <v>138</v>
      </c>
      <c r="B5" s="7" t="s">
        <v>63</v>
      </c>
      <c r="C5" s="7" t="s">
        <v>139</v>
      </c>
      <c r="D5" s="9" t="s">
        <v>140</v>
      </c>
      <c r="E5" s="2" t="s">
        <v>141</v>
      </c>
      <c r="F5" s="2" t="s">
        <v>142</v>
      </c>
      <c r="G5" s="7" t="s">
        <v>82</v>
      </c>
      <c r="H5" s="9" t="s">
        <v>118</v>
      </c>
      <c r="I5" s="7" t="s">
        <v>89</v>
      </c>
      <c r="J5" s="18" t="s">
        <v>92</v>
      </c>
      <c r="K5" s="7" t="s">
        <v>126</v>
      </c>
      <c r="L5" s="12">
        <v>46331.0</v>
      </c>
      <c r="M5" s="7">
        <v>8.0</v>
      </c>
      <c r="N5" s="7" t="s">
        <v>112</v>
      </c>
      <c r="O5" s="17" t="s">
        <v>143</v>
      </c>
      <c r="P5" s="15" t="s">
        <v>144</v>
      </c>
    </row>
    <row r="6">
      <c r="A6" s="7" t="s">
        <v>149</v>
      </c>
      <c r="B6" s="7" t="s">
        <v>63</v>
      </c>
      <c r="C6" s="7" t="s">
        <v>150</v>
      </c>
      <c r="D6" s="9" t="s">
        <v>151</v>
      </c>
      <c r="E6" s="2" t="s">
        <v>152</v>
      </c>
      <c r="F6" s="2" t="s">
        <v>153</v>
      </c>
      <c r="G6" s="7" t="s">
        <v>82</v>
      </c>
      <c r="H6" s="9" t="s">
        <v>118</v>
      </c>
      <c r="I6" s="7" t="s">
        <v>125</v>
      </c>
      <c r="J6" s="7" t="s">
        <v>92</v>
      </c>
      <c r="K6" s="7" t="s">
        <v>96</v>
      </c>
      <c r="L6" s="12">
        <v>46331.0</v>
      </c>
      <c r="M6" s="7">
        <v>8.0</v>
      </c>
      <c r="N6" s="7" t="s">
        <v>112</v>
      </c>
      <c r="O6" s="2" t="s">
        <v>154</v>
      </c>
      <c r="P6" s="15" t="s">
        <v>155</v>
      </c>
    </row>
    <row r="7">
      <c r="A7" s="7" t="s">
        <v>156</v>
      </c>
      <c r="B7" s="7" t="s">
        <v>63</v>
      </c>
      <c r="C7" s="7" t="s">
        <v>157</v>
      </c>
      <c r="D7" s="9" t="s">
        <v>158</v>
      </c>
      <c r="E7" s="2" t="s">
        <v>159</v>
      </c>
      <c r="F7" s="2" t="s">
        <v>160</v>
      </c>
      <c r="G7" s="7" t="s">
        <v>82</v>
      </c>
      <c r="H7" s="9" t="s">
        <v>118</v>
      </c>
      <c r="I7" s="7" t="s">
        <v>134</v>
      </c>
      <c r="J7" s="7" t="s">
        <v>92</v>
      </c>
      <c r="K7" s="7" t="s">
        <v>126</v>
      </c>
      <c r="L7" s="12">
        <v>46331.0</v>
      </c>
      <c r="M7" s="7">
        <v>8.0</v>
      </c>
      <c r="N7" s="7" t="s">
        <v>112</v>
      </c>
      <c r="O7" s="2" t="s">
        <v>161</v>
      </c>
      <c r="P7" s="15" t="s">
        <v>162</v>
      </c>
    </row>
    <row r="8">
      <c r="A8" s="7" t="s">
        <v>163</v>
      </c>
      <c r="B8" s="7" t="s">
        <v>164</v>
      </c>
      <c r="C8" s="7" t="s">
        <v>165</v>
      </c>
      <c r="D8" s="9" t="s">
        <v>166</v>
      </c>
      <c r="E8" s="17" t="s">
        <v>167</v>
      </c>
      <c r="F8" s="17" t="s">
        <v>168</v>
      </c>
      <c r="G8" s="7" t="s">
        <v>117</v>
      </c>
      <c r="H8" s="9" t="s">
        <v>118</v>
      </c>
      <c r="I8" s="7" t="s">
        <v>89</v>
      </c>
      <c r="J8" s="18" t="s">
        <v>92</v>
      </c>
      <c r="K8" s="7" t="s">
        <v>96</v>
      </c>
      <c r="L8" s="12">
        <v>46325.0</v>
      </c>
      <c r="M8" s="7">
        <v>8.0</v>
      </c>
      <c r="N8" s="7" t="s">
        <v>112</v>
      </c>
      <c r="O8" s="17" t="s">
        <v>169</v>
      </c>
      <c r="P8" s="15" t="s">
        <v>170</v>
      </c>
    </row>
    <row r="9">
      <c r="A9" s="7" t="s">
        <v>172</v>
      </c>
      <c r="B9" s="7" t="s">
        <v>164</v>
      </c>
      <c r="C9" s="7" t="s">
        <v>173</v>
      </c>
      <c r="D9" s="9" t="s">
        <v>174</v>
      </c>
      <c r="E9" s="2" t="s">
        <v>175</v>
      </c>
      <c r="F9" s="2" t="s">
        <v>176</v>
      </c>
      <c r="G9" s="7" t="s">
        <v>177</v>
      </c>
      <c r="H9" s="9" t="s">
        <v>118</v>
      </c>
      <c r="I9" s="7" t="s">
        <v>125</v>
      </c>
      <c r="J9" s="18" t="s">
        <v>92</v>
      </c>
      <c r="K9" s="7" t="s">
        <v>126</v>
      </c>
      <c r="L9" s="12">
        <v>46325.0</v>
      </c>
      <c r="M9" s="7">
        <v>8.0</v>
      </c>
      <c r="N9" s="7" t="s">
        <v>112</v>
      </c>
      <c r="O9" s="2" t="s">
        <v>178</v>
      </c>
      <c r="P9" s="15" t="s">
        <v>179</v>
      </c>
    </row>
    <row r="10">
      <c r="A10" s="7" t="s">
        <v>180</v>
      </c>
      <c r="B10" s="7" t="s">
        <v>181</v>
      </c>
      <c r="C10" s="7" t="s">
        <v>182</v>
      </c>
      <c r="D10" s="9" t="s">
        <v>183</v>
      </c>
      <c r="E10" s="2" t="s">
        <v>184</v>
      </c>
      <c r="F10" s="2" t="s">
        <v>185</v>
      </c>
      <c r="G10" s="7" t="s">
        <v>186</v>
      </c>
      <c r="H10" s="9" t="s">
        <v>85</v>
      </c>
      <c r="I10" s="7" t="s">
        <v>134</v>
      </c>
      <c r="J10" s="7" t="s">
        <v>92</v>
      </c>
      <c r="K10" s="7" t="s">
        <v>96</v>
      </c>
      <c r="L10" s="24">
        <v>46329.0</v>
      </c>
      <c r="M10" s="7">
        <v>8.0</v>
      </c>
      <c r="N10" s="7" t="s">
        <v>112</v>
      </c>
      <c r="O10" s="17" t="s">
        <v>187</v>
      </c>
      <c r="P10" s="15" t="s">
        <v>188</v>
      </c>
    </row>
    <row r="11">
      <c r="A11" s="7" t="s">
        <v>189</v>
      </c>
      <c r="B11" s="7" t="s">
        <v>181</v>
      </c>
      <c r="C11" s="7" t="s">
        <v>190</v>
      </c>
      <c r="D11" s="9" t="s">
        <v>191</v>
      </c>
      <c r="E11" s="2" t="s">
        <v>192</v>
      </c>
      <c r="F11" s="2" t="s">
        <v>193</v>
      </c>
      <c r="G11" s="7" t="s">
        <v>186</v>
      </c>
      <c r="H11" s="9" t="s">
        <v>118</v>
      </c>
      <c r="I11" s="7" t="s">
        <v>89</v>
      </c>
      <c r="J11" s="7" t="s">
        <v>92</v>
      </c>
      <c r="K11" s="7" t="s">
        <v>126</v>
      </c>
      <c r="L11" s="24">
        <v>46329.0</v>
      </c>
      <c r="M11" s="7">
        <v>8.0</v>
      </c>
      <c r="N11" s="7" t="s">
        <v>112</v>
      </c>
      <c r="O11" s="17" t="s">
        <v>194</v>
      </c>
      <c r="P11" s="15" t="s">
        <v>195</v>
      </c>
    </row>
    <row r="12">
      <c r="A12" s="25" t="s">
        <v>196</v>
      </c>
      <c r="B12" s="25" t="s">
        <v>63</v>
      </c>
      <c r="C12" s="26" t="s">
        <v>197</v>
      </c>
      <c r="D12" s="26" t="s">
        <v>198</v>
      </c>
      <c r="E12" s="27" t="s">
        <v>199</v>
      </c>
      <c r="F12" s="26" t="s">
        <v>200</v>
      </c>
      <c r="G12" s="26" t="s">
        <v>82</v>
      </c>
      <c r="H12" s="28" t="s">
        <v>118</v>
      </c>
      <c r="I12" s="26" t="s">
        <v>89</v>
      </c>
      <c r="J12" s="26" t="s">
        <v>119</v>
      </c>
      <c r="K12" s="26" t="s">
        <v>96</v>
      </c>
      <c r="L12" s="25"/>
      <c r="M12" s="25">
        <v>0.0</v>
      </c>
      <c r="N12" s="25" t="s">
        <v>201</v>
      </c>
      <c r="O12" s="27" t="s">
        <v>202</v>
      </c>
      <c r="P12" s="29" t="s">
        <v>203</v>
      </c>
    </row>
    <row r="13">
      <c r="A13" s="25" t="s">
        <v>204</v>
      </c>
      <c r="B13" s="26" t="s">
        <v>164</v>
      </c>
      <c r="C13" s="26" t="s">
        <v>205</v>
      </c>
      <c r="D13" s="26" t="s">
        <v>206</v>
      </c>
      <c r="E13" s="27" t="s">
        <v>207</v>
      </c>
      <c r="F13" s="30" t="s">
        <v>208</v>
      </c>
      <c r="G13" s="26" t="s">
        <v>82</v>
      </c>
      <c r="H13" s="26" t="s">
        <v>85</v>
      </c>
      <c r="I13" s="26" t="s">
        <v>125</v>
      </c>
      <c r="J13" s="26" t="s">
        <v>92</v>
      </c>
      <c r="K13" s="26" t="s">
        <v>126</v>
      </c>
      <c r="L13" s="25"/>
      <c r="M13" s="25">
        <v>0.0</v>
      </c>
      <c r="N13" s="26" t="s">
        <v>201</v>
      </c>
      <c r="O13" s="27" t="s">
        <v>209</v>
      </c>
      <c r="P13" s="29" t="s">
        <v>210</v>
      </c>
    </row>
    <row r="14">
      <c r="A14" s="25" t="s">
        <v>211</v>
      </c>
      <c r="B14" s="26" t="s">
        <v>181</v>
      </c>
      <c r="C14" s="26" t="s">
        <v>212</v>
      </c>
      <c r="D14" s="26" t="s">
        <v>213</v>
      </c>
      <c r="E14" s="27" t="s">
        <v>214</v>
      </c>
      <c r="F14" s="30" t="s">
        <v>215</v>
      </c>
      <c r="G14" s="26" t="s">
        <v>177</v>
      </c>
      <c r="H14" s="26" t="s">
        <v>118</v>
      </c>
      <c r="I14" s="26" t="s">
        <v>134</v>
      </c>
      <c r="J14" s="26" t="s">
        <v>119</v>
      </c>
      <c r="K14" s="26" t="s">
        <v>126</v>
      </c>
      <c r="L14" s="25"/>
      <c r="M14" s="25">
        <v>0.0</v>
      </c>
      <c r="N14" s="25" t="s">
        <v>201</v>
      </c>
      <c r="O14" s="27" t="s">
        <v>216</v>
      </c>
      <c r="P14" s="29" t="s">
        <v>217</v>
      </c>
    </row>
    <row r="15">
      <c r="A15" s="25"/>
      <c r="B15" s="25"/>
      <c r="C15" s="25"/>
      <c r="D15" s="25"/>
      <c r="E15" s="31"/>
      <c r="F15" s="25"/>
      <c r="G15" s="25"/>
      <c r="H15" s="25"/>
      <c r="I15" s="25"/>
      <c r="J15" s="25"/>
      <c r="K15" s="25"/>
      <c r="L15" s="25"/>
      <c r="M15" s="25">
        <v>0.0</v>
      </c>
      <c r="N15" s="25" t="s">
        <v>201</v>
      </c>
      <c r="O15" s="25"/>
      <c r="P15" s="25"/>
    </row>
    <row r="17" ht="42.0" customHeight="1">
      <c r="A17" s="32" t="s">
        <v>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P17"/>
  </mergeCells>
  <dataValidations>
    <dataValidation type="list" allowBlank="1" sqref="B2:B15">
      <formula1>Listas!$B$2:$B$4</formula1>
    </dataValidation>
    <dataValidation type="list" allowBlank="1" sqref="I2:I15">
      <formula1>Listas!$F$2:$F$4</formula1>
    </dataValidation>
    <dataValidation type="list" allowBlank="1" sqref="J2:J15">
      <formula1>Listas!$D$2:$D$3</formula1>
    </dataValidation>
    <dataValidation type="list" allowBlank="1" showInputMessage="1" showErrorMessage="1" prompt="Dato inválido - Valor no permitido. Revise el Diccionario." sqref="H2:H12">
      <formula1>Listas!$C$2:$C$5</formula1>
    </dataValidation>
    <dataValidation type="list" allowBlank="1" sqref="N2:N15">
      <formula1>Listas!$M$2:$M$6</formula1>
    </dataValidation>
    <dataValidation type="list" allowBlank="1" sqref="G2:G15">
      <formula1>Listas!$A$2:$A$9</formula1>
    </dataValidation>
    <dataValidation type="list" allowBlank="1" sqref="K2:K15">
      <formula1>Listas!$E$2:$E$3</formula1>
    </dataValidation>
    <dataValidation type="list" allowBlank="1" sqref="H13:H15">
      <formula1>Listas!$C$2:$C$5</formula1>
    </dataValidation>
  </dataValidations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</hyperlinks>
  <printOptions/>
  <pageMargins bottom="1.0" footer="0.0" header="0.0" left="0.75" right="0.75" top="1.0"/>
  <pageSetup paperSize="9" orientation="portrait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2.29"/>
    <col customWidth="1" min="4" max="4" width="38.0"/>
    <col customWidth="1" min="5" max="5" width="14.0"/>
    <col customWidth="1" min="6" max="6" width="22.0"/>
    <col customWidth="1" min="7" max="7" width="26.0"/>
    <col customWidth="1" min="8" max="8" width="12.0"/>
    <col customWidth="1" min="9" max="9" width="13.0"/>
    <col customWidth="1" min="10" max="10" width="15.0"/>
    <col customWidth="1" min="11" max="11" width="10.0"/>
    <col customWidth="1" min="12" max="12" width="14.0"/>
    <col customWidth="1" min="13" max="26" width="9.0"/>
    <col customWidth="1" min="27" max="30" width="12.0"/>
    <col customWidth="1" min="31" max="31" width="18.0"/>
    <col customWidth="1" min="32" max="35" width="12.0"/>
    <col customWidth="1" min="36" max="36" width="40.0"/>
  </cols>
  <sheetData>
    <row r="1" ht="33.75" customHeight="1">
      <c r="A1" s="4" t="s">
        <v>3</v>
      </c>
      <c r="B1" s="4" t="s">
        <v>12</v>
      </c>
      <c r="C1" s="5" t="s">
        <v>18</v>
      </c>
      <c r="D1" s="4" t="s">
        <v>24</v>
      </c>
      <c r="E1" s="4" t="s">
        <v>29</v>
      </c>
      <c r="F1" s="4" t="s">
        <v>11</v>
      </c>
      <c r="G1" s="4" t="s">
        <v>32</v>
      </c>
      <c r="H1" s="4" t="s">
        <v>15</v>
      </c>
      <c r="I1" s="4" t="s">
        <v>36</v>
      </c>
      <c r="J1" s="4" t="s">
        <v>38</v>
      </c>
      <c r="K1" s="4" t="s">
        <v>60</v>
      </c>
      <c r="L1" s="4" t="s">
        <v>61</v>
      </c>
      <c r="M1" s="6" t="s">
        <v>65</v>
      </c>
      <c r="N1" s="6" t="s">
        <v>70</v>
      </c>
      <c r="O1" s="6" t="s">
        <v>72</v>
      </c>
      <c r="P1" s="6" t="s">
        <v>76</v>
      </c>
      <c r="Q1" s="6" t="s">
        <v>78</v>
      </c>
      <c r="R1" s="6" t="s">
        <v>79</v>
      </c>
      <c r="S1" s="6" t="s">
        <v>81</v>
      </c>
      <c r="T1" s="6" t="s">
        <v>83</v>
      </c>
      <c r="U1" s="6" t="s">
        <v>84</v>
      </c>
      <c r="V1" s="6" t="s">
        <v>86</v>
      </c>
      <c r="W1" s="6" t="s">
        <v>87</v>
      </c>
      <c r="X1" s="6" t="s">
        <v>88</v>
      </c>
      <c r="Y1" s="6" t="s">
        <v>90</v>
      </c>
      <c r="Z1" s="6" t="s">
        <v>91</v>
      </c>
      <c r="AA1" s="6" t="s">
        <v>93</v>
      </c>
      <c r="AB1" s="6" t="s">
        <v>95</v>
      </c>
      <c r="AC1" s="6" t="s">
        <v>98</v>
      </c>
      <c r="AD1" s="6" t="s">
        <v>100</v>
      </c>
      <c r="AE1" s="6" t="s">
        <v>102</v>
      </c>
      <c r="AF1" s="4" t="s">
        <v>103</v>
      </c>
      <c r="AG1" s="4" t="s">
        <v>105</v>
      </c>
      <c r="AH1" s="4" t="s">
        <v>106</v>
      </c>
      <c r="AI1" s="4" t="s">
        <v>107</v>
      </c>
      <c r="AJ1" s="4" t="s">
        <v>108</v>
      </c>
    </row>
    <row r="2">
      <c r="A2" s="10" t="s">
        <v>80</v>
      </c>
      <c r="B2" s="10" t="s">
        <v>114</v>
      </c>
      <c r="C2" s="10"/>
      <c r="D2" s="10" t="s">
        <v>116</v>
      </c>
      <c r="E2" s="10" t="s">
        <v>117</v>
      </c>
      <c r="F2" s="10" t="s">
        <v>63</v>
      </c>
      <c r="G2" s="10" t="s">
        <v>118</v>
      </c>
      <c r="H2" s="11">
        <v>46340.0</v>
      </c>
      <c r="I2" s="10" t="s">
        <v>119</v>
      </c>
      <c r="J2" s="10" t="s">
        <v>96</v>
      </c>
      <c r="K2" s="10" t="s">
        <v>89</v>
      </c>
      <c r="L2" s="10">
        <v>1.0</v>
      </c>
      <c r="M2" s="10">
        <v>1.0</v>
      </c>
      <c r="N2" s="10">
        <v>1.0</v>
      </c>
      <c r="O2" s="10">
        <v>0.0</v>
      </c>
      <c r="P2" s="10">
        <v>1.0</v>
      </c>
      <c r="Q2" s="10">
        <v>0.0</v>
      </c>
      <c r="R2" s="10">
        <v>1.0</v>
      </c>
      <c r="S2" s="10">
        <v>1.0</v>
      </c>
      <c r="T2" s="10">
        <v>1.0</v>
      </c>
      <c r="U2" s="10">
        <v>0.0</v>
      </c>
      <c r="V2" s="10">
        <v>1.0</v>
      </c>
      <c r="W2" s="10">
        <v>1.0</v>
      </c>
      <c r="X2" s="10">
        <v>1.0</v>
      </c>
      <c r="Y2" s="10">
        <v>0.0</v>
      </c>
      <c r="Z2" s="10">
        <v>1.0</v>
      </c>
      <c r="AA2" s="16">
        <f t="shared" ref="AA2:AA12" si="1">IF(COUNT(M2:R2)=6,SUM(M2:R2),"")</f>
        <v>4</v>
      </c>
      <c r="AB2" s="16">
        <f t="shared" ref="AB2:AB12" si="2">IF(COUNT(S2:Z2)=8,SUM(S2:Z2),"")</f>
        <v>6</v>
      </c>
      <c r="AC2" s="16">
        <f t="shared" ref="AC2:AC12" si="3">IF(AA2="","",AA2/6*10)</f>
        <v>6.666666667</v>
      </c>
      <c r="AD2" s="16">
        <f t="shared" ref="AD2:AD12" si="4">IF(AB2="","",AB2/8*10)</f>
        <v>7.5</v>
      </c>
      <c r="AE2" s="19" t="str">
        <f t="shared" ref="AE2:AE12" si="5">IF(A2="","",IF(COUNT(M2:Z2)=14,"Completa","Incompleta: "&amp;COUNT(M2:Z2)&amp;" de 14"))</f>
        <v>Completa</v>
      </c>
      <c r="AF2" s="10">
        <v>1.0</v>
      </c>
      <c r="AG2" s="10">
        <v>4.6</v>
      </c>
      <c r="AH2" s="10">
        <v>310.0</v>
      </c>
      <c r="AI2" s="10">
        <v>1.0</v>
      </c>
      <c r="AJ2" s="10" t="s">
        <v>137</v>
      </c>
    </row>
    <row r="3">
      <c r="A3" s="9" t="s">
        <v>54</v>
      </c>
      <c r="B3" s="9" t="s">
        <v>66</v>
      </c>
      <c r="C3" s="9" t="s">
        <v>68</v>
      </c>
      <c r="D3" s="9" t="s">
        <v>74</v>
      </c>
      <c r="E3" s="9" t="s">
        <v>82</v>
      </c>
      <c r="F3" s="9" t="s">
        <v>63</v>
      </c>
      <c r="G3" s="9" t="s">
        <v>85</v>
      </c>
      <c r="H3" s="14"/>
      <c r="I3" s="13"/>
      <c r="J3" s="13"/>
      <c r="K3" s="9" t="s">
        <v>89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21" t="str">
        <f t="shared" si="1"/>
        <v/>
      </c>
      <c r="AB3" s="21" t="str">
        <f t="shared" si="2"/>
        <v/>
      </c>
      <c r="AC3" s="21" t="str">
        <f t="shared" si="3"/>
        <v/>
      </c>
      <c r="AD3" s="21" t="str">
        <f t="shared" si="4"/>
        <v/>
      </c>
      <c r="AE3" s="22" t="str">
        <f t="shared" si="5"/>
        <v>Incompleta: 0 de 14</v>
      </c>
      <c r="AF3" s="13"/>
      <c r="AG3" s="13"/>
      <c r="AH3" s="13"/>
      <c r="AI3" s="13"/>
      <c r="AJ3" s="13"/>
    </row>
    <row r="4">
      <c r="A4" s="9" t="s">
        <v>120</v>
      </c>
      <c r="B4" s="9" t="s">
        <v>121</v>
      </c>
      <c r="C4" s="9" t="s">
        <v>122</v>
      </c>
      <c r="D4" s="9" t="s">
        <v>123</v>
      </c>
      <c r="E4" s="9" t="s">
        <v>82</v>
      </c>
      <c r="F4" s="9" t="s">
        <v>63</v>
      </c>
      <c r="G4" s="9" t="s">
        <v>118</v>
      </c>
      <c r="H4" s="14"/>
      <c r="I4" s="13"/>
      <c r="J4" s="13"/>
      <c r="K4" s="9" t="s">
        <v>125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21" t="str">
        <f t="shared" si="1"/>
        <v/>
      </c>
      <c r="AB4" s="21" t="str">
        <f t="shared" si="2"/>
        <v/>
      </c>
      <c r="AC4" s="21" t="str">
        <f t="shared" si="3"/>
        <v/>
      </c>
      <c r="AD4" s="21" t="str">
        <f t="shared" si="4"/>
        <v/>
      </c>
      <c r="AE4" s="22" t="str">
        <f t="shared" si="5"/>
        <v>Incompleta: 0 de 14</v>
      </c>
      <c r="AF4" s="13"/>
      <c r="AG4" s="13"/>
      <c r="AH4" s="13"/>
      <c r="AI4" s="13"/>
      <c r="AJ4" s="13"/>
    </row>
    <row r="5">
      <c r="A5" s="9" t="s">
        <v>129</v>
      </c>
      <c r="B5" s="9" t="s">
        <v>130</v>
      </c>
      <c r="C5" s="9" t="s">
        <v>131</v>
      </c>
      <c r="D5" s="9" t="s">
        <v>171</v>
      </c>
      <c r="E5" s="9" t="s">
        <v>82</v>
      </c>
      <c r="F5" s="9" t="s">
        <v>63</v>
      </c>
      <c r="G5" s="9" t="s">
        <v>118</v>
      </c>
      <c r="H5" s="14"/>
      <c r="I5" s="13"/>
      <c r="J5" s="13"/>
      <c r="K5" s="9" t="s">
        <v>134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21" t="str">
        <f t="shared" si="1"/>
        <v/>
      </c>
      <c r="AB5" s="21" t="str">
        <f t="shared" si="2"/>
        <v/>
      </c>
      <c r="AC5" s="21" t="str">
        <f t="shared" si="3"/>
        <v/>
      </c>
      <c r="AD5" s="21" t="str">
        <f t="shared" si="4"/>
        <v/>
      </c>
      <c r="AE5" s="22" t="str">
        <f t="shared" si="5"/>
        <v>Incompleta: 0 de 14</v>
      </c>
      <c r="AF5" s="13"/>
      <c r="AG5" s="13"/>
      <c r="AH5" s="13"/>
      <c r="AI5" s="13"/>
      <c r="AJ5" s="13"/>
    </row>
    <row r="6">
      <c r="A6" s="9" t="s">
        <v>138</v>
      </c>
      <c r="B6" s="9" t="s">
        <v>139</v>
      </c>
      <c r="C6" s="9" t="s">
        <v>140</v>
      </c>
      <c r="D6" s="9" t="s">
        <v>141</v>
      </c>
      <c r="E6" s="9" t="s">
        <v>82</v>
      </c>
      <c r="F6" s="9" t="s">
        <v>63</v>
      </c>
      <c r="G6" s="9" t="s">
        <v>118</v>
      </c>
      <c r="H6" s="14"/>
      <c r="I6" s="13"/>
      <c r="J6" s="13"/>
      <c r="K6" s="9" t="s">
        <v>89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21" t="str">
        <f t="shared" si="1"/>
        <v/>
      </c>
      <c r="AB6" s="21" t="str">
        <f t="shared" si="2"/>
        <v/>
      </c>
      <c r="AC6" s="21" t="str">
        <f t="shared" si="3"/>
        <v/>
      </c>
      <c r="AD6" s="21" t="str">
        <f t="shared" si="4"/>
        <v/>
      </c>
      <c r="AE6" s="22" t="str">
        <f t="shared" si="5"/>
        <v>Incompleta: 0 de 14</v>
      </c>
      <c r="AF6" s="13"/>
      <c r="AG6" s="13"/>
      <c r="AH6" s="13"/>
      <c r="AI6" s="13"/>
      <c r="AJ6" s="13"/>
    </row>
    <row r="7">
      <c r="A7" s="9" t="s">
        <v>149</v>
      </c>
      <c r="B7" s="9" t="s">
        <v>150</v>
      </c>
      <c r="C7" s="9" t="s">
        <v>151</v>
      </c>
      <c r="D7" s="9" t="s">
        <v>152</v>
      </c>
      <c r="E7" s="9" t="s">
        <v>82</v>
      </c>
      <c r="F7" s="9" t="s">
        <v>63</v>
      </c>
      <c r="G7" s="9" t="s">
        <v>118</v>
      </c>
      <c r="H7" s="14"/>
      <c r="I7" s="13"/>
      <c r="J7" s="13"/>
      <c r="K7" s="9" t="s">
        <v>125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21" t="str">
        <f t="shared" si="1"/>
        <v/>
      </c>
      <c r="AB7" s="21" t="str">
        <f t="shared" si="2"/>
        <v/>
      </c>
      <c r="AC7" s="21" t="str">
        <f t="shared" si="3"/>
        <v/>
      </c>
      <c r="AD7" s="21" t="str">
        <f t="shared" si="4"/>
        <v/>
      </c>
      <c r="AE7" s="22" t="str">
        <f t="shared" si="5"/>
        <v>Incompleta: 0 de 14</v>
      </c>
      <c r="AF7" s="13"/>
      <c r="AG7" s="13"/>
      <c r="AH7" s="13"/>
      <c r="AI7" s="13"/>
      <c r="AJ7" s="13"/>
    </row>
    <row r="8">
      <c r="A8" s="9" t="s">
        <v>156</v>
      </c>
      <c r="B8" s="9" t="s">
        <v>157</v>
      </c>
      <c r="C8" s="9" t="s">
        <v>158</v>
      </c>
      <c r="D8" s="9" t="s">
        <v>159</v>
      </c>
      <c r="E8" s="9" t="s">
        <v>82</v>
      </c>
      <c r="F8" s="9" t="s">
        <v>63</v>
      </c>
      <c r="G8" s="9" t="s">
        <v>118</v>
      </c>
      <c r="H8" s="14"/>
      <c r="I8" s="13"/>
      <c r="J8" s="13"/>
      <c r="K8" s="9" t="s">
        <v>134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21" t="str">
        <f t="shared" si="1"/>
        <v/>
      </c>
      <c r="AB8" s="21" t="str">
        <f t="shared" si="2"/>
        <v/>
      </c>
      <c r="AC8" s="21" t="str">
        <f t="shared" si="3"/>
        <v/>
      </c>
      <c r="AD8" s="21" t="str">
        <f t="shared" si="4"/>
        <v/>
      </c>
      <c r="AE8" s="22" t="str">
        <f t="shared" si="5"/>
        <v>Incompleta: 0 de 14</v>
      </c>
      <c r="AF8" s="13"/>
      <c r="AG8" s="13"/>
      <c r="AH8" s="13"/>
      <c r="AI8" s="13"/>
      <c r="AJ8" s="13"/>
    </row>
    <row r="9">
      <c r="A9" s="9" t="s">
        <v>163</v>
      </c>
      <c r="B9" s="9" t="s">
        <v>165</v>
      </c>
      <c r="C9" s="9" t="s">
        <v>166</v>
      </c>
      <c r="D9" s="9" t="s">
        <v>167</v>
      </c>
      <c r="E9" s="9" t="s">
        <v>82</v>
      </c>
      <c r="F9" s="9" t="s">
        <v>164</v>
      </c>
      <c r="G9" s="9" t="s">
        <v>85</v>
      </c>
      <c r="H9" s="14"/>
      <c r="I9" s="13"/>
      <c r="J9" s="13"/>
      <c r="K9" s="9" t="s">
        <v>89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21" t="str">
        <f t="shared" si="1"/>
        <v/>
      </c>
      <c r="AB9" s="21" t="str">
        <f t="shared" si="2"/>
        <v/>
      </c>
      <c r="AC9" s="21" t="str">
        <f t="shared" si="3"/>
        <v/>
      </c>
      <c r="AD9" s="21" t="str">
        <f t="shared" si="4"/>
        <v/>
      </c>
      <c r="AE9" s="22" t="str">
        <f t="shared" si="5"/>
        <v>Incompleta: 0 de 14</v>
      </c>
      <c r="AF9" s="13"/>
      <c r="AG9" s="13"/>
      <c r="AH9" s="13"/>
      <c r="AI9" s="13"/>
      <c r="AJ9" s="13"/>
    </row>
    <row r="10">
      <c r="A10" s="9" t="s">
        <v>172</v>
      </c>
      <c r="B10" s="9" t="s">
        <v>173</v>
      </c>
      <c r="C10" s="9" t="s">
        <v>174</v>
      </c>
      <c r="D10" s="9" t="s">
        <v>175</v>
      </c>
      <c r="E10" s="9" t="s">
        <v>177</v>
      </c>
      <c r="F10" s="9" t="s">
        <v>164</v>
      </c>
      <c r="G10" s="9" t="s">
        <v>118</v>
      </c>
      <c r="H10" s="14"/>
      <c r="I10" s="13"/>
      <c r="J10" s="13"/>
      <c r="K10" s="9" t="s">
        <v>125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21" t="str">
        <f t="shared" si="1"/>
        <v/>
      </c>
      <c r="AB10" s="21" t="str">
        <f t="shared" si="2"/>
        <v/>
      </c>
      <c r="AC10" s="21" t="str">
        <f t="shared" si="3"/>
        <v/>
      </c>
      <c r="AD10" s="21" t="str">
        <f t="shared" si="4"/>
        <v/>
      </c>
      <c r="AE10" s="22" t="str">
        <f t="shared" si="5"/>
        <v>Incompleta: 0 de 14</v>
      </c>
      <c r="AF10" s="13"/>
      <c r="AG10" s="13"/>
      <c r="AH10" s="13"/>
      <c r="AI10" s="13"/>
      <c r="AJ10" s="13"/>
    </row>
    <row r="11">
      <c r="A11" s="9" t="s">
        <v>180</v>
      </c>
      <c r="B11" s="9" t="s">
        <v>182</v>
      </c>
      <c r="C11" s="9" t="s">
        <v>183</v>
      </c>
      <c r="D11" s="9" t="s">
        <v>184</v>
      </c>
      <c r="E11" s="9" t="s">
        <v>186</v>
      </c>
      <c r="F11" s="9" t="s">
        <v>181</v>
      </c>
      <c r="G11" s="9" t="s">
        <v>85</v>
      </c>
      <c r="H11" s="14"/>
      <c r="I11" s="13"/>
      <c r="J11" s="13"/>
      <c r="K11" s="9" t="s">
        <v>134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21" t="str">
        <f t="shared" si="1"/>
        <v/>
      </c>
      <c r="AB11" s="21" t="str">
        <f t="shared" si="2"/>
        <v/>
      </c>
      <c r="AC11" s="21" t="str">
        <f t="shared" si="3"/>
        <v/>
      </c>
      <c r="AD11" s="21" t="str">
        <f t="shared" si="4"/>
        <v/>
      </c>
      <c r="AE11" s="22" t="str">
        <f t="shared" si="5"/>
        <v>Incompleta: 0 de 14</v>
      </c>
      <c r="AF11" s="13"/>
      <c r="AG11" s="13"/>
      <c r="AH11" s="13"/>
      <c r="AI11" s="13"/>
      <c r="AJ11" s="13"/>
    </row>
    <row r="12">
      <c r="A12" s="9" t="s">
        <v>189</v>
      </c>
      <c r="B12" s="9" t="s">
        <v>190</v>
      </c>
      <c r="C12" s="9" t="s">
        <v>191</v>
      </c>
      <c r="D12" s="9" t="s">
        <v>192</v>
      </c>
      <c r="E12" s="9" t="s">
        <v>186</v>
      </c>
      <c r="F12" s="9" t="s">
        <v>181</v>
      </c>
      <c r="G12" s="9" t="s">
        <v>118</v>
      </c>
      <c r="H12" s="14"/>
      <c r="I12" s="13"/>
      <c r="J12" s="13"/>
      <c r="K12" s="9" t="s">
        <v>89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21" t="str">
        <f t="shared" si="1"/>
        <v/>
      </c>
      <c r="AB12" s="21" t="str">
        <f t="shared" si="2"/>
        <v/>
      </c>
      <c r="AC12" s="21" t="str">
        <f t="shared" si="3"/>
        <v/>
      </c>
      <c r="AD12" s="21" t="str">
        <f t="shared" si="4"/>
        <v/>
      </c>
      <c r="AE12" s="22" t="str">
        <f t="shared" si="5"/>
        <v>Incompleta: 0 de 14</v>
      </c>
      <c r="AF12" s="13"/>
      <c r="AG12" s="13"/>
      <c r="AH12" s="13"/>
      <c r="AI12" s="13"/>
      <c r="AJ12" s="13"/>
    </row>
    <row r="13">
      <c r="A13" s="9" t="s">
        <v>196</v>
      </c>
      <c r="B13" s="9" t="s">
        <v>197</v>
      </c>
      <c r="C13" s="9" t="s">
        <v>198</v>
      </c>
      <c r="D13" s="9" t="s">
        <v>199</v>
      </c>
      <c r="E13" s="9" t="s">
        <v>82</v>
      </c>
      <c r="F13" s="9" t="s">
        <v>63</v>
      </c>
      <c r="G13" s="9" t="s">
        <v>118</v>
      </c>
      <c r="H13" s="14"/>
      <c r="I13" s="13"/>
      <c r="J13" s="13"/>
      <c r="K13" s="9" t="s">
        <v>125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21"/>
      <c r="AB13" s="21"/>
      <c r="AC13" s="21"/>
      <c r="AD13" s="21"/>
      <c r="AE13" s="22"/>
      <c r="AF13" s="13"/>
      <c r="AG13" s="13"/>
      <c r="AH13" s="13"/>
      <c r="AI13" s="13"/>
      <c r="AJ13" s="13"/>
    </row>
    <row r="14">
      <c r="A14" s="9" t="s">
        <v>204</v>
      </c>
      <c r="B14" s="9" t="s">
        <v>205</v>
      </c>
      <c r="C14" s="9" t="s">
        <v>206</v>
      </c>
      <c r="D14" s="9" t="s">
        <v>207</v>
      </c>
      <c r="E14" s="9" t="s">
        <v>82</v>
      </c>
      <c r="F14" s="9" t="s">
        <v>164</v>
      </c>
      <c r="G14" s="9" t="s">
        <v>85</v>
      </c>
      <c r="H14" s="14"/>
      <c r="I14" s="13"/>
      <c r="J14" s="13"/>
      <c r="K14" s="9" t="s">
        <v>134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21" t="str">
        <f t="shared" ref="AA14:AA31" si="6">IF(COUNT(M14:R14)=6,SUM(M14:R14),"")</f>
        <v/>
      </c>
      <c r="AB14" s="21" t="str">
        <f t="shared" ref="AB14:AB31" si="7">IF(COUNT(S14:Z14)=8,SUM(S14:Z14),"")</f>
        <v/>
      </c>
      <c r="AC14" s="21" t="str">
        <f t="shared" ref="AC14:AC31" si="8">IF(AA14="","",AA14/6*10)</f>
        <v/>
      </c>
      <c r="AD14" s="21" t="str">
        <f t="shared" ref="AD14:AD31" si="9">IF(AB14="","",AB14/8*10)</f>
        <v/>
      </c>
      <c r="AE14" s="22" t="str">
        <f t="shared" ref="AE14:AE31" si="10">IF(A14="","",IF(COUNT(M14:Z14)=14,"Completa","Incompleta: "&amp;COUNT(M14:Z14)&amp;" de 14"))</f>
        <v>Incompleta: 0 de 14</v>
      </c>
      <c r="AF14" s="13"/>
      <c r="AG14" s="13"/>
      <c r="AH14" s="13"/>
      <c r="AI14" s="13"/>
      <c r="AJ14" s="13"/>
    </row>
    <row r="15">
      <c r="A15" s="9" t="s">
        <v>211</v>
      </c>
      <c r="B15" s="9" t="s">
        <v>212</v>
      </c>
      <c r="C15" s="26" t="s">
        <v>213</v>
      </c>
      <c r="D15" s="9" t="s">
        <v>214</v>
      </c>
      <c r="E15" s="9" t="s">
        <v>186</v>
      </c>
      <c r="F15" s="9" t="s">
        <v>181</v>
      </c>
      <c r="G15" s="9" t="s">
        <v>118</v>
      </c>
      <c r="H15" s="14"/>
      <c r="I15" s="13"/>
      <c r="J15" s="13"/>
      <c r="K15" s="9" t="s">
        <v>89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21" t="str">
        <f t="shared" si="6"/>
        <v/>
      </c>
      <c r="AB15" s="21" t="str">
        <f t="shared" si="7"/>
        <v/>
      </c>
      <c r="AC15" s="21" t="str">
        <f t="shared" si="8"/>
        <v/>
      </c>
      <c r="AD15" s="21" t="str">
        <f t="shared" si="9"/>
        <v/>
      </c>
      <c r="AE15" s="22" t="str">
        <f t="shared" si="10"/>
        <v>Incompleta: 0 de 14</v>
      </c>
      <c r="AF15" s="13"/>
      <c r="AG15" s="13"/>
      <c r="AH15" s="13"/>
      <c r="AI15" s="13"/>
      <c r="AJ15" s="13"/>
    </row>
    <row r="16">
      <c r="A16" s="13"/>
      <c r="B16" s="13"/>
      <c r="C16" s="13"/>
      <c r="D16" s="13"/>
      <c r="E16" s="13"/>
      <c r="F16" s="13"/>
      <c r="G16" s="13"/>
      <c r="H16" s="14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21" t="str">
        <f t="shared" si="6"/>
        <v/>
      </c>
      <c r="AB16" s="21" t="str">
        <f t="shared" si="7"/>
        <v/>
      </c>
      <c r="AC16" s="21" t="str">
        <f t="shared" si="8"/>
        <v/>
      </c>
      <c r="AD16" s="21" t="str">
        <f t="shared" si="9"/>
        <v/>
      </c>
      <c r="AE16" s="22" t="str">
        <f t="shared" si="10"/>
        <v/>
      </c>
      <c r="AF16" s="13"/>
      <c r="AG16" s="13"/>
      <c r="AH16" s="13"/>
      <c r="AI16" s="13"/>
      <c r="AJ16" s="13"/>
    </row>
    <row r="17">
      <c r="A17" s="13"/>
      <c r="B17" s="13"/>
      <c r="C17" s="13"/>
      <c r="D17" s="13"/>
      <c r="E17" s="13"/>
      <c r="F17" s="13"/>
      <c r="G17" s="13"/>
      <c r="H17" s="14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21" t="str">
        <f t="shared" si="6"/>
        <v/>
      </c>
      <c r="AB17" s="21" t="str">
        <f t="shared" si="7"/>
        <v/>
      </c>
      <c r="AC17" s="21" t="str">
        <f t="shared" si="8"/>
        <v/>
      </c>
      <c r="AD17" s="21" t="str">
        <f t="shared" si="9"/>
        <v/>
      </c>
      <c r="AE17" s="22" t="str">
        <f t="shared" si="10"/>
        <v/>
      </c>
      <c r="AF17" s="13"/>
      <c r="AG17" s="13"/>
      <c r="AH17" s="13"/>
      <c r="AI17" s="13"/>
      <c r="AJ17" s="13"/>
    </row>
    <row r="18">
      <c r="A18" s="13"/>
      <c r="B18" s="13"/>
      <c r="C18" s="13"/>
      <c r="D18" s="13"/>
      <c r="E18" s="13"/>
      <c r="F18" s="13"/>
      <c r="G18" s="13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21" t="str">
        <f t="shared" si="6"/>
        <v/>
      </c>
      <c r="AB18" s="21" t="str">
        <f t="shared" si="7"/>
        <v/>
      </c>
      <c r="AC18" s="21" t="str">
        <f t="shared" si="8"/>
        <v/>
      </c>
      <c r="AD18" s="21" t="str">
        <f t="shared" si="9"/>
        <v/>
      </c>
      <c r="AE18" s="22" t="str">
        <f t="shared" si="10"/>
        <v/>
      </c>
      <c r="AF18" s="13"/>
      <c r="AG18" s="13"/>
      <c r="AH18" s="13"/>
      <c r="AI18" s="13"/>
      <c r="AJ18" s="13"/>
    </row>
    <row r="19">
      <c r="A19" s="13"/>
      <c r="B19" s="13"/>
      <c r="C19" s="13"/>
      <c r="D19" s="13"/>
      <c r="E19" s="13"/>
      <c r="F19" s="13"/>
      <c r="G19" s="13"/>
      <c r="H19" s="14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21" t="str">
        <f t="shared" si="6"/>
        <v/>
      </c>
      <c r="AB19" s="21" t="str">
        <f t="shared" si="7"/>
        <v/>
      </c>
      <c r="AC19" s="21" t="str">
        <f t="shared" si="8"/>
        <v/>
      </c>
      <c r="AD19" s="21" t="str">
        <f t="shared" si="9"/>
        <v/>
      </c>
      <c r="AE19" s="22" t="str">
        <f t="shared" si="10"/>
        <v/>
      </c>
      <c r="AF19" s="13"/>
      <c r="AG19" s="13"/>
      <c r="AH19" s="13"/>
      <c r="AI19" s="13"/>
      <c r="AJ19" s="13"/>
    </row>
    <row r="20">
      <c r="A20" s="13"/>
      <c r="B20" s="13"/>
      <c r="C20" s="13"/>
      <c r="D20" s="13"/>
      <c r="E20" s="13"/>
      <c r="F20" s="13"/>
      <c r="G20" s="13"/>
      <c r="H20" s="14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21" t="str">
        <f t="shared" si="6"/>
        <v/>
      </c>
      <c r="AB20" s="21" t="str">
        <f t="shared" si="7"/>
        <v/>
      </c>
      <c r="AC20" s="21" t="str">
        <f t="shared" si="8"/>
        <v/>
      </c>
      <c r="AD20" s="21" t="str">
        <f t="shared" si="9"/>
        <v/>
      </c>
      <c r="AE20" s="22" t="str">
        <f t="shared" si="10"/>
        <v/>
      </c>
      <c r="AF20" s="13"/>
      <c r="AG20" s="13"/>
      <c r="AH20" s="13"/>
      <c r="AI20" s="13"/>
      <c r="AJ20" s="13"/>
    </row>
    <row r="21">
      <c r="A21" s="13"/>
      <c r="B21" s="13"/>
      <c r="C21" s="13"/>
      <c r="D21" s="13"/>
      <c r="E21" s="13"/>
      <c r="F21" s="13"/>
      <c r="G21" s="13"/>
      <c r="H21" s="14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21" t="str">
        <f t="shared" si="6"/>
        <v/>
      </c>
      <c r="AB21" s="21" t="str">
        <f t="shared" si="7"/>
        <v/>
      </c>
      <c r="AC21" s="21" t="str">
        <f t="shared" si="8"/>
        <v/>
      </c>
      <c r="AD21" s="21" t="str">
        <f t="shared" si="9"/>
        <v/>
      </c>
      <c r="AE21" s="22" t="str">
        <f t="shared" si="10"/>
        <v/>
      </c>
      <c r="AF21" s="13"/>
      <c r="AG21" s="13"/>
      <c r="AH21" s="13"/>
      <c r="AI21" s="13"/>
      <c r="AJ21" s="13"/>
    </row>
    <row r="22" ht="15.75" customHeight="1">
      <c r="A22" s="13"/>
      <c r="B22" s="13"/>
      <c r="C22" s="13"/>
      <c r="D22" s="13"/>
      <c r="E22" s="13"/>
      <c r="F22" s="13"/>
      <c r="G22" s="13"/>
      <c r="H22" s="14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21" t="str">
        <f t="shared" si="6"/>
        <v/>
      </c>
      <c r="AB22" s="21" t="str">
        <f t="shared" si="7"/>
        <v/>
      </c>
      <c r="AC22" s="21" t="str">
        <f t="shared" si="8"/>
        <v/>
      </c>
      <c r="AD22" s="21" t="str">
        <f t="shared" si="9"/>
        <v/>
      </c>
      <c r="AE22" s="22" t="str">
        <f t="shared" si="10"/>
        <v/>
      </c>
      <c r="AF22" s="13"/>
      <c r="AG22" s="13"/>
      <c r="AH22" s="13"/>
      <c r="AI22" s="13"/>
      <c r="AJ22" s="13"/>
    </row>
    <row r="23" ht="15.75" customHeight="1">
      <c r="A23" s="13"/>
      <c r="B23" s="13"/>
      <c r="C23" s="13"/>
      <c r="D23" s="13"/>
      <c r="E23" s="13"/>
      <c r="F23" s="13"/>
      <c r="G23" s="13"/>
      <c r="H23" s="14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21" t="str">
        <f t="shared" si="6"/>
        <v/>
      </c>
      <c r="AB23" s="21" t="str">
        <f t="shared" si="7"/>
        <v/>
      </c>
      <c r="AC23" s="21" t="str">
        <f t="shared" si="8"/>
        <v/>
      </c>
      <c r="AD23" s="21" t="str">
        <f t="shared" si="9"/>
        <v/>
      </c>
      <c r="AE23" s="22" t="str">
        <f t="shared" si="10"/>
        <v/>
      </c>
      <c r="AF23" s="13"/>
      <c r="AG23" s="13"/>
      <c r="AH23" s="13"/>
      <c r="AI23" s="13"/>
      <c r="AJ23" s="13"/>
    </row>
    <row r="24" ht="15.75" customHeight="1">
      <c r="A24" s="13"/>
      <c r="B24" s="13"/>
      <c r="C24" s="13"/>
      <c r="D24" s="13"/>
      <c r="E24" s="13"/>
      <c r="F24" s="13"/>
      <c r="G24" s="13"/>
      <c r="H24" s="14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21" t="str">
        <f t="shared" si="6"/>
        <v/>
      </c>
      <c r="AB24" s="21" t="str">
        <f t="shared" si="7"/>
        <v/>
      </c>
      <c r="AC24" s="21" t="str">
        <f t="shared" si="8"/>
        <v/>
      </c>
      <c r="AD24" s="21" t="str">
        <f t="shared" si="9"/>
        <v/>
      </c>
      <c r="AE24" s="22" t="str">
        <f t="shared" si="10"/>
        <v/>
      </c>
      <c r="AF24" s="13"/>
      <c r="AG24" s="13"/>
      <c r="AH24" s="13"/>
      <c r="AI24" s="13"/>
      <c r="AJ24" s="13"/>
    </row>
    <row r="25" ht="15.75" customHeight="1">
      <c r="A25" s="13"/>
      <c r="B25" s="13"/>
      <c r="C25" s="13"/>
      <c r="D25" s="13"/>
      <c r="E25" s="13"/>
      <c r="F25" s="13"/>
      <c r="G25" s="13"/>
      <c r="H25" s="14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21" t="str">
        <f t="shared" si="6"/>
        <v/>
      </c>
      <c r="AB25" s="21" t="str">
        <f t="shared" si="7"/>
        <v/>
      </c>
      <c r="AC25" s="21" t="str">
        <f t="shared" si="8"/>
        <v/>
      </c>
      <c r="AD25" s="21" t="str">
        <f t="shared" si="9"/>
        <v/>
      </c>
      <c r="AE25" s="22" t="str">
        <f t="shared" si="10"/>
        <v/>
      </c>
      <c r="AF25" s="13"/>
      <c r="AG25" s="13"/>
      <c r="AH25" s="13"/>
      <c r="AI25" s="13"/>
      <c r="AJ25" s="13"/>
    </row>
    <row r="26" ht="15.75" customHeight="1">
      <c r="A26" s="13"/>
      <c r="B26" s="13"/>
      <c r="C26" s="13"/>
      <c r="D26" s="13"/>
      <c r="E26" s="13"/>
      <c r="F26" s="13"/>
      <c r="G26" s="13"/>
      <c r="H26" s="14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21" t="str">
        <f t="shared" si="6"/>
        <v/>
      </c>
      <c r="AB26" s="21" t="str">
        <f t="shared" si="7"/>
        <v/>
      </c>
      <c r="AC26" s="21" t="str">
        <f t="shared" si="8"/>
        <v/>
      </c>
      <c r="AD26" s="21" t="str">
        <f t="shared" si="9"/>
        <v/>
      </c>
      <c r="AE26" s="22" t="str">
        <f t="shared" si="10"/>
        <v/>
      </c>
      <c r="AF26" s="13"/>
      <c r="AG26" s="13"/>
      <c r="AH26" s="13"/>
      <c r="AI26" s="13"/>
      <c r="AJ26" s="13"/>
    </row>
    <row r="27" ht="15.75" customHeight="1">
      <c r="A27" s="13"/>
      <c r="B27" s="13"/>
      <c r="C27" s="13"/>
      <c r="D27" s="13"/>
      <c r="E27" s="13"/>
      <c r="F27" s="13"/>
      <c r="G27" s="13"/>
      <c r="H27" s="14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21" t="str">
        <f t="shared" si="6"/>
        <v/>
      </c>
      <c r="AB27" s="21" t="str">
        <f t="shared" si="7"/>
        <v/>
      </c>
      <c r="AC27" s="21" t="str">
        <f t="shared" si="8"/>
        <v/>
      </c>
      <c r="AD27" s="21" t="str">
        <f t="shared" si="9"/>
        <v/>
      </c>
      <c r="AE27" s="22" t="str">
        <f t="shared" si="10"/>
        <v/>
      </c>
      <c r="AF27" s="13"/>
      <c r="AG27" s="13"/>
      <c r="AH27" s="13"/>
      <c r="AI27" s="13"/>
      <c r="AJ27" s="13"/>
    </row>
    <row r="28" ht="15.75" customHeight="1">
      <c r="A28" s="13"/>
      <c r="B28" s="13"/>
      <c r="C28" s="13"/>
      <c r="D28" s="13"/>
      <c r="E28" s="13"/>
      <c r="F28" s="13"/>
      <c r="G28" s="13"/>
      <c r="H28" s="14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21" t="str">
        <f t="shared" si="6"/>
        <v/>
      </c>
      <c r="AB28" s="21" t="str">
        <f t="shared" si="7"/>
        <v/>
      </c>
      <c r="AC28" s="21" t="str">
        <f t="shared" si="8"/>
        <v/>
      </c>
      <c r="AD28" s="21" t="str">
        <f t="shared" si="9"/>
        <v/>
      </c>
      <c r="AE28" s="22" t="str">
        <f t="shared" si="10"/>
        <v/>
      </c>
      <c r="AF28" s="13"/>
      <c r="AG28" s="13"/>
      <c r="AH28" s="13"/>
      <c r="AI28" s="13"/>
      <c r="AJ28" s="13"/>
    </row>
    <row r="29" ht="15.75" customHeight="1">
      <c r="A29" s="13"/>
      <c r="B29" s="13"/>
      <c r="C29" s="13"/>
      <c r="D29" s="13"/>
      <c r="E29" s="13"/>
      <c r="F29" s="13"/>
      <c r="G29" s="13"/>
      <c r="H29" s="14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21" t="str">
        <f t="shared" si="6"/>
        <v/>
      </c>
      <c r="AB29" s="21" t="str">
        <f t="shared" si="7"/>
        <v/>
      </c>
      <c r="AC29" s="21" t="str">
        <f t="shared" si="8"/>
        <v/>
      </c>
      <c r="AD29" s="21" t="str">
        <f t="shared" si="9"/>
        <v/>
      </c>
      <c r="AE29" s="22" t="str">
        <f t="shared" si="10"/>
        <v/>
      </c>
      <c r="AF29" s="13"/>
      <c r="AG29" s="13"/>
      <c r="AH29" s="13"/>
      <c r="AI29" s="13"/>
      <c r="AJ29" s="13"/>
    </row>
    <row r="30" ht="15.75" customHeight="1">
      <c r="A30" s="13"/>
      <c r="B30" s="13"/>
      <c r="C30" s="13"/>
      <c r="D30" s="13"/>
      <c r="E30" s="13"/>
      <c r="F30" s="13"/>
      <c r="G30" s="13"/>
      <c r="H30" s="14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21" t="str">
        <f t="shared" si="6"/>
        <v/>
      </c>
      <c r="AB30" s="21" t="str">
        <f t="shared" si="7"/>
        <v/>
      </c>
      <c r="AC30" s="21" t="str">
        <f t="shared" si="8"/>
        <v/>
      </c>
      <c r="AD30" s="21" t="str">
        <f t="shared" si="9"/>
        <v/>
      </c>
      <c r="AE30" s="22" t="str">
        <f t="shared" si="10"/>
        <v/>
      </c>
      <c r="AF30" s="13"/>
      <c r="AG30" s="13"/>
      <c r="AH30" s="13"/>
      <c r="AI30" s="13"/>
      <c r="AJ30" s="13"/>
    </row>
    <row r="31" ht="15.75" customHeight="1">
      <c r="A31" s="13"/>
      <c r="B31" s="13"/>
      <c r="C31" s="13"/>
      <c r="D31" s="13"/>
      <c r="E31" s="13"/>
      <c r="F31" s="13"/>
      <c r="G31" s="13"/>
      <c r="H31" s="14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21" t="str">
        <f t="shared" si="6"/>
        <v/>
      </c>
      <c r="AB31" s="21" t="str">
        <f t="shared" si="7"/>
        <v/>
      </c>
      <c r="AC31" s="21" t="str">
        <f t="shared" si="8"/>
        <v/>
      </c>
      <c r="AD31" s="21" t="str">
        <f t="shared" si="9"/>
        <v/>
      </c>
      <c r="AE31" s="22" t="str">
        <f t="shared" si="10"/>
        <v/>
      </c>
      <c r="AF31" s="13"/>
      <c r="AG31" s="13"/>
      <c r="AH31" s="13"/>
      <c r="AI31" s="13"/>
      <c r="AJ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E3:AE31">
    <cfRule type="expression" dxfId="0" priority="1">
      <formula>LEFT(AE3,3)="Inc"</formula>
    </cfRule>
  </conditionalFormatting>
  <dataValidations>
    <dataValidation type="list" allowBlank="1" showInputMessage="1" showErrorMessage="1" prompt="Dato inválido - Valor no permitido. Revise el Diccionario." sqref="J3:J31">
      <formula1>Listas!$E$2:$E$3</formula1>
    </dataValidation>
    <dataValidation type="decimal" allowBlank="1" showInputMessage="1" showErrorMessage="1" prompt="Dato inválido - Valor no permitido. Revise el Diccionario." sqref="AG3:AG31">
      <formula1>1.0</formula1>
      <formula2>5.0</formula2>
    </dataValidation>
    <dataValidation type="decimal" operator="greaterThanOrEqual" allowBlank="1" showInputMessage="1" showErrorMessage="1" prompt="Dato inválido - Valor no permitido. Revise el Diccionario." sqref="AH3:AH31">
      <formula1>0.0</formula1>
    </dataValidation>
    <dataValidation type="list" allowBlank="1" showInputMessage="1" showErrorMessage="1" prompt="Dato inválido - Valor no permitido. Revise el Diccionario." sqref="F3:F31">
      <formula1>Listas!$B$2:$B$4</formula1>
    </dataValidation>
    <dataValidation type="list" allowBlank="1" showInputMessage="1" showErrorMessage="1" prompt="Dato inválido - Valor no permitido. Revise el Diccionario." sqref="K3:K31">
      <formula1>Listas!$F$2:$F$4</formula1>
    </dataValidation>
    <dataValidation type="list" allowBlank="1" showInputMessage="1" showErrorMessage="1" prompt="Dato inválido - Valor no permitido. Revise el Diccionario." sqref="G3:G31">
      <formula1>Listas!$C$2:$C$5</formula1>
    </dataValidation>
    <dataValidation type="list" allowBlank="1" showInputMessage="1" showErrorMessage="1" prompt="Dato inválido - Valor no permitido. Revise el Diccionario." sqref="I3:I31">
      <formula1>Listas!$D$2:$D$3</formula1>
    </dataValidation>
    <dataValidation type="list" allowBlank="1" showInputMessage="1" showErrorMessage="1" prompt="Dato inválido - Valor no permitido. Revise el Diccionario." sqref="E3:E31">
      <formula1>Listas!$A$2:$A$9</formula1>
    </dataValidation>
    <dataValidation type="list" allowBlank="1" showInputMessage="1" showErrorMessage="1" prompt="Dato inválido - Valor no permitido. Revise el Diccionario." sqref="L3:Z31 AF3:AF31 AI3:AI31">
      <formula1>"0,1"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6" width="12.0"/>
    <col customWidth="1" min="7" max="7" width="20.0"/>
    <col customWidth="1" min="8" max="8" width="24.0"/>
    <col customWidth="1" min="9" max="9" width="22.0"/>
    <col customWidth="1" min="10" max="10" width="13.0"/>
    <col customWidth="1" min="11" max="21" width="12.0"/>
    <col customWidth="1" min="22" max="22" width="22.0"/>
    <col customWidth="1" min="23" max="23" width="40.0"/>
  </cols>
  <sheetData>
    <row r="1" ht="33.75" customHeight="1">
      <c r="A1" s="4" t="s">
        <v>4</v>
      </c>
      <c r="B1" s="4" t="s">
        <v>3</v>
      </c>
      <c r="C1" s="4" t="s">
        <v>15</v>
      </c>
      <c r="D1" s="4" t="s">
        <v>19</v>
      </c>
      <c r="E1" s="4" t="s">
        <v>22</v>
      </c>
      <c r="F1" s="4" t="s">
        <v>25</v>
      </c>
      <c r="G1" s="6" t="s">
        <v>31</v>
      </c>
      <c r="H1" s="6" t="s">
        <v>44</v>
      </c>
      <c r="I1" s="6" t="s">
        <v>47</v>
      </c>
      <c r="J1" s="6" t="s">
        <v>49</v>
      </c>
      <c r="K1" s="6" t="s">
        <v>51</v>
      </c>
      <c r="L1" s="6" t="s">
        <v>53</v>
      </c>
      <c r="M1" s="6" t="s">
        <v>56</v>
      </c>
      <c r="N1" s="6" t="s">
        <v>57</v>
      </c>
      <c r="O1" s="6" t="s">
        <v>58</v>
      </c>
      <c r="P1" s="6" t="s">
        <v>59</v>
      </c>
      <c r="Q1" s="8" t="s">
        <v>62</v>
      </c>
      <c r="R1" s="6" t="s">
        <v>64</v>
      </c>
      <c r="S1" s="6" t="s">
        <v>67</v>
      </c>
      <c r="T1" s="6" t="s">
        <v>69</v>
      </c>
      <c r="U1" s="6" t="s">
        <v>71</v>
      </c>
      <c r="V1" s="6" t="s">
        <v>73</v>
      </c>
      <c r="W1" s="6" t="s">
        <v>75</v>
      </c>
    </row>
    <row r="2">
      <c r="A2" s="10" t="s">
        <v>80</v>
      </c>
      <c r="B2" s="10" t="s">
        <v>80</v>
      </c>
      <c r="C2" s="11">
        <v>46340.0</v>
      </c>
      <c r="D2" s="10" t="s">
        <v>94</v>
      </c>
      <c r="E2" s="10" t="s">
        <v>89</v>
      </c>
      <c r="F2" s="10">
        <v>1.0</v>
      </c>
      <c r="G2" s="10" t="s">
        <v>97</v>
      </c>
      <c r="H2" s="10" t="s">
        <v>99</v>
      </c>
      <c r="I2" s="10" t="s">
        <v>101</v>
      </c>
      <c r="J2" s="10">
        <v>60.0</v>
      </c>
      <c r="K2" s="10">
        <v>5.0</v>
      </c>
      <c r="L2" s="10">
        <v>4.0</v>
      </c>
      <c r="M2" s="10">
        <v>3.0</v>
      </c>
      <c r="N2" s="10" t="s">
        <v>104</v>
      </c>
      <c r="O2" s="10">
        <v>5.0</v>
      </c>
      <c r="P2" s="10">
        <v>4.0</v>
      </c>
      <c r="Q2" s="10"/>
      <c r="R2" s="10">
        <v>0.0</v>
      </c>
      <c r="S2" s="10">
        <v>9.0</v>
      </c>
      <c r="T2" s="10">
        <v>5.0</v>
      </c>
      <c r="U2" s="10" t="s">
        <v>109</v>
      </c>
      <c r="V2" s="10" t="s">
        <v>110</v>
      </c>
      <c r="W2" s="10" t="s">
        <v>111</v>
      </c>
    </row>
    <row r="3">
      <c r="A3" s="13"/>
      <c r="B3" s="13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3"/>
      <c r="B4" s="13"/>
      <c r="C4" s="1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3"/>
      <c r="B5" s="13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3"/>
      <c r="B6" s="13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3"/>
      <c r="B7" s="13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3"/>
      <c r="B8" s="13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13"/>
      <c r="B9" s="13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3"/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1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1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3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13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3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3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3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3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3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3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3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3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5.75" customHeight="1">
      <c r="A27" s="13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5.75" customHeight="1">
      <c r="A28" s="13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5.75" customHeight="1">
      <c r="A29" s="13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5.75" customHeight="1">
      <c r="A31" s="13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5.75" customHeight="1">
      <c r="A32" s="13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5.75" customHeight="1">
      <c r="A33" s="13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5.75" customHeight="1">
      <c r="A34" s="13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5.75" customHeight="1">
      <c r="A35" s="13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5.75" customHeight="1">
      <c r="A36" s="13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5.75" customHeight="1">
      <c r="A37" s="13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5.75" customHeight="1">
      <c r="A38" s="13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5.75" customHeight="1">
      <c r="A39" s="13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5.75" customHeight="1">
      <c r="A40" s="13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5.75" customHeight="1">
      <c r="A41" s="13"/>
      <c r="B41" s="13"/>
      <c r="C41" s="1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3"/>
      <c r="B42" s="13"/>
      <c r="C42" s="1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5.75" customHeight="1">
      <c r="A43" s="13"/>
      <c r="B43" s="13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5.75" customHeight="1">
      <c r="A44" s="13"/>
      <c r="B44" s="13"/>
      <c r="C44" s="1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5.75" customHeight="1">
      <c r="A45" s="13"/>
      <c r="B45" s="13"/>
      <c r="C45" s="1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5.75" customHeight="1">
      <c r="A46" s="13"/>
      <c r="B46" s="13"/>
      <c r="C46" s="1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5.75" customHeight="1">
      <c r="A47" s="13"/>
      <c r="B47" s="13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5.75" customHeight="1">
      <c r="A48" s="13"/>
      <c r="B48" s="13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5.75" customHeight="1">
      <c r="A49" s="13"/>
      <c r="B49" s="13"/>
      <c r="C49" s="1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5.75" customHeight="1">
      <c r="A50" s="13"/>
      <c r="B50" s="13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5.75" customHeight="1">
      <c r="A51" s="13"/>
      <c r="B51" s="13"/>
      <c r="C51" s="1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5.75" customHeight="1">
      <c r="A52" s="13"/>
      <c r="B52" s="13"/>
      <c r="C52" s="1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3"/>
      <c r="B53" s="13"/>
      <c r="C53" s="1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3"/>
      <c r="B54" s="13"/>
      <c r="C54" s="1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5.75" customHeight="1">
      <c r="A55" s="13"/>
      <c r="B55" s="13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3"/>
      <c r="B56" s="13"/>
      <c r="C56" s="1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3"/>
      <c r="B57" s="13"/>
      <c r="C57" s="1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3"/>
      <c r="B58" s="13"/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3"/>
      <c r="B59" s="13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3"/>
      <c r="B60" s="13"/>
      <c r="C60" s="1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5.75" customHeight="1">
      <c r="A61" s="13"/>
      <c r="B61" s="13"/>
      <c r="C61" s="1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5.75" customHeight="1">
      <c r="A62" s="13"/>
      <c r="B62" s="13"/>
      <c r="C62" s="1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13"/>
      <c r="B63" s="13"/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3"/>
      <c r="B64" s="13"/>
      <c r="C64" s="1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3"/>
      <c r="B65" s="13"/>
      <c r="C65" s="1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3"/>
      <c r="B66" s="13"/>
      <c r="C66" s="1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3"/>
      <c r="B67" s="13"/>
      <c r="C67" s="1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5.75" customHeight="1">
      <c r="A68" s="13"/>
      <c r="B68" s="13"/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5.75" customHeight="1">
      <c r="A69" s="13"/>
      <c r="B69" s="13"/>
      <c r="C69" s="1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5.75" customHeight="1">
      <c r="A70" s="13"/>
      <c r="B70" s="13"/>
      <c r="C70" s="1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5.75" customHeight="1">
      <c r="A71" s="13"/>
      <c r="B71" s="13"/>
      <c r="C71" s="1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5.75" customHeight="1">
      <c r="A72" s="13"/>
      <c r="B72" s="13"/>
      <c r="C72" s="1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3"/>
      <c r="B73" s="13"/>
      <c r="C73" s="1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3"/>
      <c r="B74" s="13"/>
      <c r="C74" s="1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5.75" customHeight="1">
      <c r="A75" s="13"/>
      <c r="B75" s="13"/>
      <c r="C75" s="1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5.75" customHeight="1">
      <c r="A76" s="13"/>
      <c r="B76" s="13"/>
      <c r="C76" s="1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3"/>
      <c r="B77" s="13"/>
      <c r="C77" s="1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3"/>
      <c r="B78" s="13"/>
      <c r="C78" s="1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3"/>
      <c r="B79" s="13"/>
      <c r="C79" s="1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3"/>
      <c r="B80" s="13"/>
      <c r="C80" s="1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3"/>
      <c r="B81" s="13"/>
      <c r="C81" s="1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3"/>
      <c r="B82" s="13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3"/>
      <c r="B83" s="13"/>
      <c r="C83" s="1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3"/>
      <c r="B84" s="13"/>
      <c r="C84" s="1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3"/>
      <c r="B85" s="13"/>
      <c r="C85" s="1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3"/>
      <c r="B86" s="13"/>
      <c r="C86" s="1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3"/>
      <c r="B87" s="13"/>
      <c r="C87" s="1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3"/>
      <c r="B88" s="13"/>
      <c r="C88" s="1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3"/>
      <c r="B89" s="13"/>
      <c r="C89" s="1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3"/>
      <c r="B90" s="13"/>
      <c r="C90" s="1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3"/>
      <c r="B91" s="13"/>
      <c r="C91" s="1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3"/>
      <c r="B92" s="13"/>
      <c r="C92" s="1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3"/>
      <c r="B93" s="13"/>
      <c r="C93" s="1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3"/>
      <c r="B94" s="13"/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3"/>
      <c r="B95" s="13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3"/>
      <c r="B96" s="13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3"/>
      <c r="B97" s="13"/>
      <c r="C97" s="1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3"/>
      <c r="B98" s="13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3"/>
      <c r="B99" s="13"/>
      <c r="C99" s="1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3"/>
      <c r="B100" s="13"/>
      <c r="C100" s="1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3"/>
      <c r="B101" s="13"/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3"/>
      <c r="B102" s="13"/>
      <c r="C102" s="1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3"/>
      <c r="B103" s="13"/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3"/>
      <c r="B104" s="13"/>
      <c r="C104" s="1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3"/>
      <c r="B105" s="13"/>
      <c r="C105" s="1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3"/>
      <c r="B106" s="13"/>
      <c r="C106" s="1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3"/>
      <c r="B107" s="13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3"/>
      <c r="B108" s="13"/>
      <c r="C108" s="1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3"/>
      <c r="B109" s="13"/>
      <c r="C109" s="1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3"/>
      <c r="B110" s="13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3"/>
      <c r="B111" s="13"/>
      <c r="C111" s="1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3"/>
      <c r="B112" s="13"/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3"/>
      <c r="B113" s="13"/>
      <c r="C113" s="1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3"/>
      <c r="B114" s="13"/>
      <c r="C114" s="1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3"/>
      <c r="B115" s="13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3"/>
      <c r="B116" s="13"/>
      <c r="C116" s="1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3"/>
      <c r="B117" s="13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3"/>
      <c r="B118" s="13"/>
      <c r="C118" s="1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3"/>
      <c r="B119" s="13"/>
      <c r="C119" s="1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3"/>
      <c r="B120" s="13"/>
      <c r="C120" s="1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3"/>
      <c r="B121" s="13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3"/>
      <c r="B122" s="13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3"/>
      <c r="B123" s="13"/>
      <c r="C123" s="1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3"/>
      <c r="B124" s="13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3"/>
      <c r="B125" s="13"/>
      <c r="C125" s="1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3"/>
      <c r="B126" s="13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3"/>
      <c r="B127" s="13"/>
      <c r="C127" s="1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3"/>
      <c r="B128" s="13"/>
      <c r="C128" s="1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3"/>
      <c r="B129" s="13"/>
      <c r="C129" s="1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3"/>
      <c r="B130" s="13"/>
      <c r="C130" s="1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3"/>
      <c r="B131" s="13"/>
      <c r="C131" s="1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3"/>
      <c r="B132" s="13"/>
      <c r="C132" s="1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3"/>
      <c r="B133" s="13"/>
      <c r="C133" s="1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3"/>
      <c r="B134" s="13"/>
      <c r="C134" s="1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3"/>
      <c r="B135" s="13"/>
      <c r="C135" s="1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3"/>
      <c r="B136" s="13"/>
      <c r="C136" s="1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3"/>
      <c r="B137" s="13"/>
      <c r="C137" s="1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3"/>
      <c r="B138" s="13"/>
      <c r="C138" s="1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3"/>
      <c r="B139" s="13"/>
      <c r="C139" s="1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3"/>
      <c r="B140" s="13"/>
      <c r="C140" s="1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3"/>
      <c r="B141" s="13"/>
      <c r="C141" s="1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3"/>
      <c r="B142" s="13"/>
      <c r="C142" s="1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3"/>
      <c r="B143" s="13"/>
      <c r="C143" s="1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3"/>
      <c r="B144" s="13"/>
      <c r="C144" s="1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3"/>
      <c r="B145" s="13"/>
      <c r="C145" s="1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3"/>
      <c r="B146" s="13"/>
      <c r="C146" s="1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3"/>
      <c r="B147" s="13"/>
      <c r="C147" s="1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3"/>
      <c r="B148" s="13"/>
      <c r="C148" s="1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3"/>
      <c r="B149" s="13"/>
      <c r="C149" s="1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3"/>
      <c r="B150" s="13"/>
      <c r="C150" s="1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3"/>
      <c r="B151" s="13"/>
      <c r="C151" s="1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3"/>
      <c r="B152" s="13"/>
      <c r="C152" s="1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3"/>
      <c r="B153" s="13"/>
      <c r="C153" s="1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3"/>
      <c r="B154" s="13"/>
      <c r="C154" s="1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3"/>
      <c r="B155" s="13"/>
      <c r="C155" s="1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3"/>
      <c r="B156" s="13"/>
      <c r="C156" s="1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3"/>
      <c r="B157" s="13"/>
      <c r="C157" s="1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3"/>
      <c r="B158" s="13"/>
      <c r="C158" s="1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3"/>
      <c r="B159" s="13"/>
      <c r="C159" s="1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3"/>
      <c r="B160" s="13"/>
      <c r="C160" s="1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3"/>
      <c r="B161" s="13"/>
      <c r="C161" s="1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3"/>
      <c r="B162" s="13"/>
      <c r="C162" s="1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3"/>
      <c r="B163" s="13"/>
      <c r="C163" s="1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3"/>
      <c r="B164" s="13"/>
      <c r="C164" s="1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3"/>
      <c r="B165" s="13"/>
      <c r="C165" s="1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3"/>
      <c r="B166" s="13"/>
      <c r="C166" s="1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3"/>
      <c r="B167" s="13"/>
      <c r="C167" s="1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3"/>
      <c r="B168" s="13"/>
      <c r="C168" s="1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3"/>
      <c r="B169" s="13"/>
      <c r="C169" s="1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3"/>
      <c r="B170" s="13"/>
      <c r="C170" s="1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3"/>
      <c r="B171" s="13"/>
      <c r="C171" s="1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3"/>
      <c r="B172" s="13"/>
      <c r="C172" s="1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3"/>
      <c r="B173" s="13"/>
      <c r="C173" s="1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3"/>
      <c r="B174" s="13"/>
      <c r="C174" s="1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3"/>
      <c r="B175" s="13"/>
      <c r="C175" s="1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3"/>
      <c r="B176" s="13"/>
      <c r="C176" s="1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3"/>
      <c r="B177" s="13"/>
      <c r="C177" s="1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3"/>
      <c r="B178" s="13"/>
      <c r="C178" s="1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3"/>
      <c r="B179" s="13"/>
      <c r="C179" s="1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3"/>
      <c r="B180" s="13"/>
      <c r="C180" s="1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3"/>
      <c r="B181" s="13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3"/>
      <c r="B182" s="13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3"/>
      <c r="B183" s="13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3"/>
      <c r="B184" s="13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3"/>
      <c r="B185" s="13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3"/>
      <c r="B186" s="13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3"/>
      <c r="B187" s="13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3"/>
      <c r="B188" s="13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3"/>
      <c r="B189" s="13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3"/>
      <c r="B190" s="13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3"/>
      <c r="B191" s="13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3"/>
      <c r="B192" s="13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3"/>
      <c r="B193" s="13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3"/>
      <c r="B194" s="13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3"/>
      <c r="B195" s="13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3"/>
      <c r="B196" s="13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3"/>
      <c r="B197" s="13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3"/>
      <c r="B198" s="13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3"/>
      <c r="B199" s="13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3"/>
      <c r="B200" s="13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InputMessage="1" showErrorMessage="1" prompt="Dato inválido - Valor no permitido. Revise el Diccionario." sqref="K3:M200 O3:P200 T3:T200">
      <formula1>1.0</formula1>
      <formula2>5.0</formula2>
    </dataValidation>
    <dataValidation type="list" allowBlank="1" showInputMessage="1" showErrorMessage="1" prompt="Dato inválido - Valor no permitido. Revise el Diccionario." sqref="N3:N200">
      <formula1>"1,2,3,4,5,NA"</formula1>
    </dataValidation>
    <dataValidation type="decimal" allowBlank="1" showInputMessage="1" showErrorMessage="1" prompt="Dato inválido - Valor no permitido. Revise el Diccionario." sqref="S3:S200">
      <formula1>0.0</formula1>
      <formula2>10.0</formula2>
    </dataValidation>
    <dataValidation type="list" allowBlank="1" showInputMessage="1" showErrorMessage="1" prompt="Dato inválido - Valor no permitido. Revise el Diccionario." sqref="H3:H200">
      <formula1>Listas!$H$2:$H$6</formula1>
    </dataValidation>
    <dataValidation type="decimal" operator="greaterThanOrEqual" allowBlank="1" showInputMessage="1" showErrorMessage="1" prompt="Dato inválido - Valor no permitido. Revise el Diccionario." sqref="J3:J200">
      <formula1>0.0</formula1>
    </dataValidation>
    <dataValidation type="list" allowBlank="1" showInputMessage="1" showErrorMessage="1" prompt="Dato inválido - Valor no permitido. Revise el Diccionario." sqref="E3:E200">
      <formula1>Listas!$F$2:$F$4</formula1>
    </dataValidation>
    <dataValidation type="list" allowBlank="1" showInputMessage="1" showErrorMessage="1" prompt="Dato inválido - Valor no permitido. Revise el Diccionario." sqref="G3:G200">
      <formula1>Listas!$G$2:$G$5</formula1>
    </dataValidation>
    <dataValidation type="list" allowBlank="1" showInputMessage="1" showErrorMessage="1" prompt="Dato inválido - Valor no permitido. Revise el Diccionario." sqref="U3:U200">
      <formula1>Listas!$K$2:$K$5</formula1>
    </dataValidation>
    <dataValidation type="list" allowBlank="1" showInputMessage="1" showErrorMessage="1" prompt="Dato inválido - Valor no permitido. Revise el Diccionario." sqref="B3:B200">
      <formula1>Muestra_Cafes!$A$2:$A$15</formula1>
    </dataValidation>
    <dataValidation type="list" allowBlank="1" showInputMessage="1" showErrorMessage="1" prompt="Dato inválido - Valor no permitido. Revise el Diccionario." sqref="I3:I200">
      <formula1>Listas!$I$2:$I$6</formula1>
    </dataValidation>
    <dataValidation type="list" allowBlank="1" showInputMessage="1" showErrorMessage="1" prompt="Dato inválido - Valor no permitido. Revise el Diccionario." sqref="V3:V200">
      <formula1>Listas!$L$2:$L$4</formula1>
    </dataValidation>
    <dataValidation type="list" allowBlank="1" showInputMessage="1" showErrorMessage="1" prompt="Dato inválido - Valor no permitido. Revise el Diccionario." sqref="F3:F200 Q3:R200">
      <formula1>"0,1"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7" width="16.0"/>
    <col customWidth="1" min="8" max="26" width="8.71"/>
  </cols>
  <sheetData>
    <row r="1">
      <c r="A1" s="20" t="s">
        <v>3</v>
      </c>
      <c r="B1" s="20" t="s">
        <v>145</v>
      </c>
      <c r="C1" s="20" t="s">
        <v>146</v>
      </c>
      <c r="D1" s="20" t="s">
        <v>147</v>
      </c>
      <c r="E1" s="20" t="s">
        <v>148</v>
      </c>
      <c r="F1" s="20" t="s">
        <v>93</v>
      </c>
      <c r="G1" s="20" t="s">
        <v>95</v>
      </c>
    </row>
    <row r="2">
      <c r="A2" s="13" t="str">
        <f>Muestra_Cafes!A2</f>
        <v>C01</v>
      </c>
      <c r="B2" s="13">
        <f>COUNTIFS(Encuestas!$B$3:$B$200,A2,Encuestas!$F$3:$F$200,1)</f>
        <v>0</v>
      </c>
      <c r="C2" s="13">
        <f>Muestra_Cafes!M2</f>
        <v>8</v>
      </c>
      <c r="D2" s="23">
        <f t="shared" ref="D2:D16" si="1">IF(C2=0,"",MIN(1,B2/C2))</f>
        <v>0</v>
      </c>
      <c r="E2" s="13" t="str">
        <f>IF(COUNTIF(Ficha_Cafe!$A$3:$A$31,A2)&gt;0,"Sí","No")</f>
        <v>Sí</v>
      </c>
      <c r="F2" s="13" t="str">
        <f t="array" ref="F2">IFERROR(INDEX(Ficha_Cafe!$AA$3:$AA$31,MATCH(A2,Ficha_Cafe!$A$3:$A$31,0)),"")</f>
        <v/>
      </c>
      <c r="G2" s="13" t="str">
        <f t="array" ref="G2">IFERROR(INDEX(Ficha_Cafe!$AB$3:$AB$31,MATCH(A2,Ficha_Cafe!$A$3:$A$31,0)),"")</f>
        <v/>
      </c>
    </row>
    <row r="3">
      <c r="A3" s="13" t="str">
        <f>Muestra_Cafes!A3</f>
        <v>C02</v>
      </c>
      <c r="B3" s="13">
        <f>COUNTIFS(Encuestas!$B$3:$B$200,A3,Encuestas!$F$3:$F$200,1)</f>
        <v>0</v>
      </c>
      <c r="C3" s="13">
        <f>Muestra_Cafes!M3</f>
        <v>8</v>
      </c>
      <c r="D3" s="23">
        <f t="shared" si="1"/>
        <v>0</v>
      </c>
      <c r="E3" s="13" t="str">
        <f>IF(COUNTIF(Ficha_Cafe!$A$3:$A$31,A3)&gt;0,"Sí","No")</f>
        <v>Sí</v>
      </c>
      <c r="F3" s="13" t="str">
        <f t="array" ref="F3">IFERROR(INDEX(Ficha_Cafe!$AA$3:$AA$31,MATCH(A3,Ficha_Cafe!$A$3:$A$31,0)),"")</f>
        <v/>
      </c>
      <c r="G3" s="13" t="str">
        <f t="array" ref="G3">IFERROR(INDEX(Ficha_Cafe!$AB$3:$AB$31,MATCH(A3,Ficha_Cafe!$A$3:$A$31,0)),"")</f>
        <v/>
      </c>
    </row>
    <row r="4">
      <c r="A4" s="13" t="str">
        <f>Muestra_Cafes!A4</f>
        <v>C03</v>
      </c>
      <c r="B4" s="13">
        <f>COUNTIFS(Encuestas!$B$3:$B$200,A4,Encuestas!$F$3:$F$200,1)</f>
        <v>0</v>
      </c>
      <c r="C4" s="13">
        <f>Muestra_Cafes!M4</f>
        <v>8</v>
      </c>
      <c r="D4" s="23">
        <f t="shared" si="1"/>
        <v>0</v>
      </c>
      <c r="E4" s="13" t="str">
        <f>IF(COUNTIF(Ficha_Cafe!$A$3:$A$31,A4)&gt;0,"Sí","No")</f>
        <v>Sí</v>
      </c>
      <c r="F4" s="13" t="str">
        <f t="array" ref="F4">IFERROR(INDEX(Ficha_Cafe!$AA$3:$AA$31,MATCH(A4,Ficha_Cafe!$A$3:$A$31,0)),"")</f>
        <v/>
      </c>
      <c r="G4" s="13" t="str">
        <f t="array" ref="G4">IFERROR(INDEX(Ficha_Cafe!$AB$3:$AB$31,MATCH(A4,Ficha_Cafe!$A$3:$A$31,0)),"")</f>
        <v/>
      </c>
    </row>
    <row r="5">
      <c r="A5" s="13" t="str">
        <f>Muestra_Cafes!A5</f>
        <v>C04</v>
      </c>
      <c r="B5" s="13">
        <f>COUNTIFS(Encuestas!$B$3:$B$200,A5,Encuestas!$F$3:$F$200,1)</f>
        <v>0</v>
      </c>
      <c r="C5" s="13">
        <f>Muestra_Cafes!M5</f>
        <v>8</v>
      </c>
      <c r="D5" s="23">
        <f t="shared" si="1"/>
        <v>0</v>
      </c>
      <c r="E5" s="13" t="str">
        <f>IF(COUNTIF(Ficha_Cafe!$A$3:$A$31,A5)&gt;0,"Sí","No")</f>
        <v>Sí</v>
      </c>
      <c r="F5" s="13" t="str">
        <f t="array" ref="F5">IFERROR(INDEX(Ficha_Cafe!$AA$3:$AA$31,MATCH(A5,Ficha_Cafe!$A$3:$A$31,0)),"")</f>
        <v/>
      </c>
      <c r="G5" s="13" t="str">
        <f t="array" ref="G5">IFERROR(INDEX(Ficha_Cafe!$AB$3:$AB$31,MATCH(A5,Ficha_Cafe!$A$3:$A$31,0)),"")</f>
        <v/>
      </c>
    </row>
    <row r="6">
      <c r="A6" s="13" t="str">
        <f>Muestra_Cafes!A6</f>
        <v>C05</v>
      </c>
      <c r="B6" s="13">
        <f>COUNTIFS(Encuestas!$B$3:$B$200,A6,Encuestas!$F$3:$F$200,1)</f>
        <v>0</v>
      </c>
      <c r="C6" s="13">
        <f>Muestra_Cafes!M6</f>
        <v>8</v>
      </c>
      <c r="D6" s="23">
        <f t="shared" si="1"/>
        <v>0</v>
      </c>
      <c r="E6" s="13" t="str">
        <f>IF(COUNTIF(Ficha_Cafe!$A$3:$A$31,A6)&gt;0,"Sí","No")</f>
        <v>Sí</v>
      </c>
      <c r="F6" s="13" t="str">
        <f t="array" ref="F6">IFERROR(INDEX(Ficha_Cafe!$AA$3:$AA$31,MATCH(A6,Ficha_Cafe!$A$3:$A$31,0)),"")</f>
        <v/>
      </c>
      <c r="G6" s="13" t="str">
        <f t="array" ref="G6">IFERROR(INDEX(Ficha_Cafe!$AB$3:$AB$31,MATCH(A6,Ficha_Cafe!$A$3:$A$31,0)),"")</f>
        <v/>
      </c>
    </row>
    <row r="7">
      <c r="A7" s="13" t="str">
        <f>Muestra_Cafes!A7</f>
        <v>C06</v>
      </c>
      <c r="B7" s="13">
        <f>COUNTIFS(Encuestas!$B$3:$B$200,A7,Encuestas!$F$3:$F$200,1)</f>
        <v>0</v>
      </c>
      <c r="C7" s="13">
        <f>Muestra_Cafes!M7</f>
        <v>8</v>
      </c>
      <c r="D7" s="23">
        <f t="shared" si="1"/>
        <v>0</v>
      </c>
      <c r="E7" s="13" t="str">
        <f>IF(COUNTIF(Ficha_Cafe!$A$3:$A$31,A7)&gt;0,"Sí","No")</f>
        <v>Sí</v>
      </c>
      <c r="F7" s="13" t="str">
        <f t="array" ref="F7">IFERROR(INDEX(Ficha_Cafe!$AA$3:$AA$31,MATCH(A7,Ficha_Cafe!$A$3:$A$31,0)),"")</f>
        <v/>
      </c>
      <c r="G7" s="13" t="str">
        <f t="array" ref="G7">IFERROR(INDEX(Ficha_Cafe!$AB$3:$AB$31,MATCH(A7,Ficha_Cafe!$A$3:$A$31,0)),"")</f>
        <v/>
      </c>
    </row>
    <row r="8">
      <c r="A8" s="13" t="str">
        <f>Muestra_Cafes!A8</f>
        <v>C07</v>
      </c>
      <c r="B8" s="13">
        <f>COUNTIFS(Encuestas!$B$3:$B$200,A8,Encuestas!$F$3:$F$200,1)</f>
        <v>0</v>
      </c>
      <c r="C8" s="13">
        <f>Muestra_Cafes!M8</f>
        <v>8</v>
      </c>
      <c r="D8" s="23">
        <f t="shared" si="1"/>
        <v>0</v>
      </c>
      <c r="E8" s="13" t="str">
        <f>IF(COUNTIF(Ficha_Cafe!$A$3:$A$31,A8)&gt;0,"Sí","No")</f>
        <v>Sí</v>
      </c>
      <c r="F8" s="13" t="str">
        <f t="array" ref="F8">IFERROR(INDEX(Ficha_Cafe!$AA$3:$AA$31,MATCH(A8,Ficha_Cafe!$A$3:$A$31,0)),"")</f>
        <v/>
      </c>
      <c r="G8" s="13" t="str">
        <f t="array" ref="G8">IFERROR(INDEX(Ficha_Cafe!$AB$3:$AB$31,MATCH(A8,Ficha_Cafe!$A$3:$A$31,0)),"")</f>
        <v/>
      </c>
    </row>
    <row r="9">
      <c r="A9" s="13" t="str">
        <f>Muestra_Cafes!A9</f>
        <v>C08</v>
      </c>
      <c r="B9" s="13">
        <f>COUNTIFS(Encuestas!$B$3:$B$200,A9,Encuestas!$F$3:$F$200,1)</f>
        <v>0</v>
      </c>
      <c r="C9" s="13">
        <f>Muestra_Cafes!M9</f>
        <v>8</v>
      </c>
      <c r="D9" s="23">
        <f t="shared" si="1"/>
        <v>0</v>
      </c>
      <c r="E9" s="13" t="str">
        <f>IF(COUNTIF(Ficha_Cafe!$A$3:$A$31,A9)&gt;0,"Sí","No")</f>
        <v>Sí</v>
      </c>
      <c r="F9" s="13" t="str">
        <f t="array" ref="F9">IFERROR(INDEX(Ficha_Cafe!$AA$3:$AA$31,MATCH(A9,Ficha_Cafe!$A$3:$A$31,0)),"")</f>
        <v/>
      </c>
      <c r="G9" s="13" t="str">
        <f t="array" ref="G9">IFERROR(INDEX(Ficha_Cafe!$AB$3:$AB$31,MATCH(A9,Ficha_Cafe!$A$3:$A$31,0)),"")</f>
        <v/>
      </c>
    </row>
    <row r="10">
      <c r="A10" s="13" t="str">
        <f>Muestra_Cafes!A10</f>
        <v>C09</v>
      </c>
      <c r="B10" s="13">
        <f>COUNTIFS(Encuestas!$B$3:$B$200,A10,Encuestas!$F$3:$F$200,1)</f>
        <v>0</v>
      </c>
      <c r="C10" s="13">
        <f>Muestra_Cafes!M10</f>
        <v>8</v>
      </c>
      <c r="D10" s="23">
        <f t="shared" si="1"/>
        <v>0</v>
      </c>
      <c r="E10" s="13" t="str">
        <f>IF(COUNTIF(Ficha_Cafe!$A$3:$A$31,A10)&gt;0,"Sí","No")</f>
        <v>Sí</v>
      </c>
      <c r="F10" s="13" t="str">
        <f t="array" ref="F10">IFERROR(INDEX(Ficha_Cafe!$AA$3:$AA$31,MATCH(A10,Ficha_Cafe!$A$3:$A$31,0)),"")</f>
        <v/>
      </c>
      <c r="G10" s="13" t="str">
        <f t="array" ref="G10">IFERROR(INDEX(Ficha_Cafe!$AB$3:$AB$31,MATCH(A10,Ficha_Cafe!$A$3:$A$31,0)),"")</f>
        <v/>
      </c>
    </row>
    <row r="11">
      <c r="A11" s="13" t="str">
        <f>Muestra_Cafes!A11</f>
        <v>C10</v>
      </c>
      <c r="B11" s="13">
        <f>COUNTIFS(Encuestas!$B$3:$B$200,A11,Encuestas!$F$3:$F$200,1)</f>
        <v>0</v>
      </c>
      <c r="C11" s="13">
        <f>Muestra_Cafes!M11</f>
        <v>8</v>
      </c>
      <c r="D11" s="23">
        <f t="shared" si="1"/>
        <v>0</v>
      </c>
      <c r="E11" s="13" t="str">
        <f>IF(COUNTIF(Ficha_Cafe!$A$3:$A$31,A11)&gt;0,"Sí","No")</f>
        <v>Sí</v>
      </c>
      <c r="F11" s="13" t="str">
        <f t="array" ref="F11">IFERROR(INDEX(Ficha_Cafe!$AA$3:$AA$31,MATCH(A11,Ficha_Cafe!$A$3:$A$31,0)),"")</f>
        <v/>
      </c>
      <c r="G11" s="13" t="str">
        <f t="array" ref="G11">IFERROR(INDEX(Ficha_Cafe!$AB$3:$AB$31,MATCH(A11,Ficha_Cafe!$A$3:$A$31,0)),"")</f>
        <v/>
      </c>
    </row>
    <row r="12">
      <c r="A12" s="13" t="str">
        <f>Muestra_Cafes!A12</f>
        <v>R1</v>
      </c>
      <c r="B12" s="13">
        <f>COUNTIFS(Encuestas!$B$3:$B$200,A12,Encuestas!$F$3:$F$200,1)</f>
        <v>0</v>
      </c>
      <c r="C12" s="13">
        <f>Muestra_Cafes!M12</f>
        <v>0</v>
      </c>
      <c r="D12" s="23" t="str">
        <f t="shared" si="1"/>
        <v/>
      </c>
      <c r="E12" s="13" t="str">
        <f>IF(COUNTIF(Ficha_Cafe!$A$3:$A$31,A12)&gt;0,"Sí","No")</f>
        <v>Sí</v>
      </c>
      <c r="F12" s="13" t="str">
        <f t="array" ref="F12">IFERROR(INDEX(Ficha_Cafe!$AA$3:$AA$31,MATCH(A12,Ficha_Cafe!$A$3:$A$31,0)),"")</f>
        <v/>
      </c>
      <c r="G12" s="13" t="str">
        <f t="array" ref="G12">IFERROR(INDEX(Ficha_Cafe!$AB$3:$AB$31,MATCH(A12,Ficha_Cafe!$A$3:$A$31,0)),"")</f>
        <v/>
      </c>
    </row>
    <row r="13">
      <c r="A13" s="13" t="str">
        <f>Muestra_Cafes!A13</f>
        <v>R2</v>
      </c>
      <c r="B13" s="13">
        <f>COUNTIFS(Encuestas!$B$3:$B$200,A13,Encuestas!$F$3:$F$200,1)</f>
        <v>0</v>
      </c>
      <c r="C13" s="13">
        <f>Muestra_Cafes!M13</f>
        <v>0</v>
      </c>
      <c r="D13" s="23" t="str">
        <f t="shared" si="1"/>
        <v/>
      </c>
      <c r="E13" s="13" t="str">
        <f>IF(COUNTIF(Ficha_Cafe!$A$3:$A$31,A13)&gt;0,"Sí","No")</f>
        <v>Sí</v>
      </c>
      <c r="F13" s="13" t="str">
        <f t="array" ref="F13">IFERROR(INDEX(Ficha_Cafe!$AA$3:$AA$31,MATCH(A13,Ficha_Cafe!$A$3:$A$31,0)),"")</f>
        <v/>
      </c>
      <c r="G13" s="13" t="str">
        <f t="array" ref="G13">IFERROR(INDEX(Ficha_Cafe!$AB$3:$AB$31,MATCH(A13,Ficha_Cafe!$A$3:$A$31,0)),"")</f>
        <v/>
      </c>
    </row>
    <row r="14">
      <c r="A14" s="13" t="str">
        <f>Muestra_Cafes!A14</f>
        <v>R3</v>
      </c>
      <c r="B14" s="13">
        <f>COUNTIFS(Encuestas!$B$3:$B$200,A14,Encuestas!$F$3:$F$200,1)</f>
        <v>0</v>
      </c>
      <c r="C14" s="13">
        <f>Muestra_Cafes!M14</f>
        <v>0</v>
      </c>
      <c r="D14" s="23" t="str">
        <f t="shared" si="1"/>
        <v/>
      </c>
      <c r="E14" s="13" t="str">
        <f>IF(COUNTIF(Ficha_Cafe!$A$3:$A$31,A14)&gt;0,"Sí","No")</f>
        <v>Sí</v>
      </c>
      <c r="F14" s="13" t="str">
        <f t="array" ref="F14">IFERROR(INDEX(Ficha_Cafe!$AA$3:$AA$31,MATCH(A14,Ficha_Cafe!$A$3:$A$31,0)),"")</f>
        <v/>
      </c>
      <c r="G14" s="13" t="str">
        <f t="array" ref="G14">IFERROR(INDEX(Ficha_Cafe!$AB$3:$AB$31,MATCH(A14,Ficha_Cafe!$A$3:$A$31,0)),"")</f>
        <v/>
      </c>
    </row>
    <row r="15">
      <c r="A15" s="13" t="str">
        <f>Muestra_Cafes!A15</f>
        <v/>
      </c>
      <c r="B15" s="13">
        <f>COUNTIFS(Encuestas!$B$3:$B$200,A15,Encuestas!$F$3:$F$200,1)</f>
        <v>0</v>
      </c>
      <c r="C15" s="13">
        <f>Muestra_Cafes!M15</f>
        <v>0</v>
      </c>
      <c r="D15" s="23" t="str">
        <f t="shared" si="1"/>
        <v/>
      </c>
      <c r="E15" s="13" t="str">
        <f>IF(COUNTIF(Ficha_Cafe!$A$3:$A$31,A15)&gt;0,"Sí","No")</f>
        <v>No</v>
      </c>
      <c r="F15" s="13" t="str">
        <f t="array" ref="F15">IFERROR(INDEX(Ficha_Cafe!$AA$3:$AA$31,MATCH(A15,Ficha_Cafe!$A$3:$A$31,0)),"")</f>
        <v/>
      </c>
      <c r="G15" s="13" t="str">
        <f t="array" ref="G15">IFERROR(INDEX(Ficha_Cafe!$AB$3:$AB$31,MATCH(A15,Ficha_Cafe!$A$3:$A$31,0)),"")</f>
        <v/>
      </c>
    </row>
    <row r="16">
      <c r="A16" s="35" t="s">
        <v>220</v>
      </c>
      <c r="B16" s="35">
        <f t="shared" ref="B16:C16" si="2">SUM(B2:B15)</f>
        <v>0</v>
      </c>
      <c r="C16" s="35">
        <f t="shared" si="2"/>
        <v>80</v>
      </c>
      <c r="D16" s="36">
        <f t="shared" si="1"/>
        <v>0</v>
      </c>
      <c r="E16" s="35" t="str">
        <f>COUNTIFS(E2:E15,"Sí",C2:C15,"&gt;0")&amp;" de "&amp;COUNTIF(C2:C15,"&gt;0")&amp;" fichas"</f>
        <v>10 de 10 fichas</v>
      </c>
    </row>
    <row r="18">
      <c r="A18" s="40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4.29"/>
    <col customWidth="1" min="9" max="9" width="21.57"/>
    <col customWidth="1" min="22" max="22" width="21.0"/>
  </cols>
  <sheetData>
    <row r="1" ht="33.75" customHeight="1">
      <c r="A1" s="33" t="s">
        <v>219</v>
      </c>
      <c r="B1" s="34"/>
      <c r="C1" s="33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ht="33.75" customHeight="1">
      <c r="A2" s="4" t="s">
        <v>3</v>
      </c>
      <c r="B2" s="4" t="s">
        <v>12</v>
      </c>
      <c r="C2" s="5" t="s">
        <v>18</v>
      </c>
      <c r="D2" s="4" t="s">
        <v>24</v>
      </c>
      <c r="E2" s="4" t="s">
        <v>29</v>
      </c>
      <c r="F2" s="4" t="s">
        <v>11</v>
      </c>
      <c r="G2" s="4" t="s">
        <v>32</v>
      </c>
      <c r="H2" s="4" t="s">
        <v>15</v>
      </c>
      <c r="I2" s="4" t="s">
        <v>36</v>
      </c>
      <c r="J2" s="4" t="s">
        <v>38</v>
      </c>
      <c r="K2" s="4" t="s">
        <v>60</v>
      </c>
      <c r="L2" s="4" t="s">
        <v>61</v>
      </c>
      <c r="M2" s="6" t="s">
        <v>65</v>
      </c>
      <c r="N2" s="6" t="s">
        <v>70</v>
      </c>
      <c r="O2" s="6" t="s">
        <v>72</v>
      </c>
      <c r="P2" s="6" t="s">
        <v>76</v>
      </c>
      <c r="Q2" s="6" t="s">
        <v>78</v>
      </c>
      <c r="R2" s="6" t="s">
        <v>79</v>
      </c>
      <c r="S2" s="6" t="s">
        <v>81</v>
      </c>
      <c r="T2" s="6" t="s">
        <v>83</v>
      </c>
      <c r="U2" s="6" t="s">
        <v>84</v>
      </c>
      <c r="V2" s="6" t="s">
        <v>86</v>
      </c>
      <c r="W2" s="6" t="s">
        <v>87</v>
      </c>
      <c r="X2" s="6" t="s">
        <v>88</v>
      </c>
      <c r="Y2" s="6" t="s">
        <v>90</v>
      </c>
      <c r="Z2" s="6" t="s">
        <v>91</v>
      </c>
      <c r="AA2" s="4" t="s">
        <v>103</v>
      </c>
      <c r="AB2" s="4" t="s">
        <v>105</v>
      </c>
      <c r="AC2" s="4" t="s">
        <v>106</v>
      </c>
      <c r="AD2" s="4" t="s">
        <v>107</v>
      </c>
      <c r="AE2" s="4" t="s">
        <v>108</v>
      </c>
    </row>
    <row r="3">
      <c r="A3" s="27" t="s">
        <v>204</v>
      </c>
      <c r="B3" s="26" t="s">
        <v>205</v>
      </c>
      <c r="C3" s="26" t="s">
        <v>221</v>
      </c>
      <c r="D3" s="27" t="s">
        <v>207</v>
      </c>
      <c r="E3" s="26" t="s">
        <v>164</v>
      </c>
      <c r="F3" s="26" t="s">
        <v>82</v>
      </c>
      <c r="G3" s="26" t="s">
        <v>85</v>
      </c>
      <c r="H3" s="37">
        <v>46323.0</v>
      </c>
      <c r="I3" s="38" t="s">
        <v>92</v>
      </c>
      <c r="J3" s="7" t="s">
        <v>126</v>
      </c>
      <c r="K3" s="38" t="s">
        <v>89</v>
      </c>
      <c r="L3" s="38">
        <v>1.0</v>
      </c>
      <c r="M3" s="38">
        <v>1.0</v>
      </c>
      <c r="N3" s="38">
        <v>1.0</v>
      </c>
      <c r="O3" s="38">
        <v>1.0</v>
      </c>
      <c r="P3" s="38">
        <v>1.0</v>
      </c>
      <c r="Q3" s="38">
        <v>1.0</v>
      </c>
      <c r="R3" s="38">
        <v>1.0</v>
      </c>
      <c r="S3" s="38">
        <v>1.0</v>
      </c>
      <c r="T3" s="38">
        <v>1.0</v>
      </c>
      <c r="U3" s="38">
        <v>0.0</v>
      </c>
      <c r="V3" s="38">
        <v>0.0</v>
      </c>
      <c r="W3" s="38">
        <v>1.0</v>
      </c>
      <c r="X3" s="38">
        <v>1.0</v>
      </c>
      <c r="Y3" s="38">
        <v>0.0</v>
      </c>
      <c r="Z3" s="38">
        <v>1.0</v>
      </c>
      <c r="AA3" s="38">
        <v>1.0</v>
      </c>
      <c r="AB3" s="38">
        <v>4.8</v>
      </c>
      <c r="AC3" s="38">
        <v>168.0</v>
      </c>
      <c r="AD3" s="38">
        <v>1.0</v>
      </c>
      <c r="AE3" s="38" t="s">
        <v>222</v>
      </c>
    </row>
    <row r="4">
      <c r="A4" s="39" t="s">
        <v>223</v>
      </c>
    </row>
    <row r="5" ht="33.75" customHeight="1">
      <c r="A5" s="4" t="s">
        <v>4</v>
      </c>
      <c r="B5" s="4" t="s">
        <v>3</v>
      </c>
      <c r="C5" s="4" t="s">
        <v>15</v>
      </c>
      <c r="D5" s="4" t="s">
        <v>19</v>
      </c>
      <c r="E5" s="4" t="s">
        <v>22</v>
      </c>
      <c r="F5" s="4" t="s">
        <v>25</v>
      </c>
      <c r="G5" s="6" t="s">
        <v>31</v>
      </c>
      <c r="H5" s="6" t="s">
        <v>44</v>
      </c>
      <c r="I5" s="6" t="s">
        <v>47</v>
      </c>
      <c r="J5" s="6" t="s">
        <v>49</v>
      </c>
      <c r="K5" s="6" t="s">
        <v>51</v>
      </c>
      <c r="L5" s="6" t="s">
        <v>53</v>
      </c>
      <c r="M5" s="6" t="s">
        <v>56</v>
      </c>
      <c r="N5" s="6" t="s">
        <v>57</v>
      </c>
      <c r="O5" s="6" t="s">
        <v>58</v>
      </c>
      <c r="P5" s="6" t="s">
        <v>59</v>
      </c>
      <c r="Q5" s="8" t="s">
        <v>62</v>
      </c>
      <c r="R5" s="6" t="s">
        <v>64</v>
      </c>
      <c r="S5" s="6" t="s">
        <v>67</v>
      </c>
      <c r="T5" s="6" t="s">
        <v>69</v>
      </c>
      <c r="U5" s="6" t="s">
        <v>71</v>
      </c>
      <c r="V5" s="6" t="s">
        <v>73</v>
      </c>
      <c r="W5" s="6" t="s">
        <v>75</v>
      </c>
    </row>
    <row r="6">
      <c r="A6" s="38" t="s">
        <v>225</v>
      </c>
      <c r="B6" s="38" t="s">
        <v>204</v>
      </c>
      <c r="C6" s="37">
        <v>46323.0</v>
      </c>
      <c r="D6" s="41">
        <v>0.16666666666666666</v>
      </c>
      <c r="E6" s="38" t="s">
        <v>89</v>
      </c>
      <c r="F6" s="38">
        <v>1.0</v>
      </c>
      <c r="G6" s="38" t="s">
        <v>226</v>
      </c>
      <c r="H6" s="38" t="s">
        <v>227</v>
      </c>
      <c r="I6" s="38" t="s">
        <v>228</v>
      </c>
      <c r="J6" s="38" t="s">
        <v>229</v>
      </c>
      <c r="K6" s="38">
        <v>4.0</v>
      </c>
      <c r="L6" s="38">
        <v>4.0</v>
      </c>
      <c r="M6" s="38">
        <v>1.0</v>
      </c>
      <c r="N6" s="38">
        <v>4.0</v>
      </c>
      <c r="O6" s="38">
        <v>1.0</v>
      </c>
      <c r="P6" s="38">
        <v>4.0</v>
      </c>
      <c r="Q6" s="38">
        <v>1.0</v>
      </c>
      <c r="R6" s="38">
        <v>1.0</v>
      </c>
      <c r="S6" s="38">
        <v>6.0</v>
      </c>
      <c r="T6" s="38">
        <v>3.0</v>
      </c>
      <c r="U6" s="38" t="s">
        <v>230</v>
      </c>
      <c r="V6" s="38" t="s">
        <v>110</v>
      </c>
      <c r="W6" s="38" t="s">
        <v>231</v>
      </c>
    </row>
    <row r="7">
      <c r="A7" s="39" t="s">
        <v>232</v>
      </c>
    </row>
    <row r="8">
      <c r="A8" s="5" t="s">
        <v>233</v>
      </c>
      <c r="B8" s="38" t="s">
        <v>234</v>
      </c>
      <c r="C8" s="5" t="s">
        <v>235</v>
      </c>
      <c r="D8" s="41">
        <v>0.05555555555555555</v>
      </c>
    </row>
  </sheetData>
  <dataValidations>
    <dataValidation type="list" allowBlank="1" sqref="E3">
      <formula1>Listas!$B$2:$B$4</formula1>
    </dataValidation>
    <dataValidation type="list" allowBlank="1" sqref="F3">
      <formula1>Listas!$A$2:$A$9</formula1>
    </dataValidation>
    <dataValidation type="list" allowBlank="1" sqref="J3">
      <formula1>Listas!$E$2:$E$3</formula1>
    </dataValidation>
    <dataValidation type="list" allowBlank="1" sqref="G3">
      <formula1>Listas!$C$2:$C$5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30.0"/>
    <col customWidth="1" min="4" max="4" width="70.0"/>
    <col customWidth="1" min="5" max="5" width="12.0"/>
    <col customWidth="1" min="6" max="6" width="44.0"/>
    <col customWidth="1" min="7" max="7" width="12.0"/>
    <col customWidth="1" min="8" max="8" width="52.0"/>
    <col customWidth="1" min="9" max="26" width="8.71"/>
  </cols>
  <sheetData>
    <row r="1">
      <c r="A1" s="42" t="s">
        <v>236</v>
      </c>
      <c r="B1" s="42" t="s">
        <v>237</v>
      </c>
      <c r="C1" s="42" t="s">
        <v>238</v>
      </c>
      <c r="D1" s="42" t="s">
        <v>239</v>
      </c>
      <c r="E1" s="42" t="s">
        <v>240</v>
      </c>
      <c r="F1" s="42" t="s">
        <v>241</v>
      </c>
      <c r="G1" s="42" t="s">
        <v>242</v>
      </c>
      <c r="H1" s="42" t="s">
        <v>243</v>
      </c>
    </row>
    <row r="2">
      <c r="A2" s="43" t="s">
        <v>3</v>
      </c>
      <c r="B2" s="43" t="s">
        <v>244</v>
      </c>
      <c r="C2" s="43" t="s">
        <v>245</v>
      </c>
      <c r="D2" s="43" t="s">
        <v>246</v>
      </c>
      <c r="E2" s="43" t="s">
        <v>247</v>
      </c>
      <c r="F2" s="43" t="s">
        <v>248</v>
      </c>
      <c r="G2" s="43" t="s">
        <v>249</v>
      </c>
      <c r="H2" s="43" t="s">
        <v>250</v>
      </c>
    </row>
    <row r="3">
      <c r="A3" s="43" t="s">
        <v>12</v>
      </c>
      <c r="B3" s="43" t="s">
        <v>244</v>
      </c>
      <c r="C3" s="43" t="s">
        <v>245</v>
      </c>
      <c r="D3" s="43" t="s">
        <v>251</v>
      </c>
      <c r="E3" s="43" t="s">
        <v>247</v>
      </c>
      <c r="F3" s="43" t="s">
        <v>248</v>
      </c>
      <c r="G3" s="43" t="s">
        <v>249</v>
      </c>
      <c r="H3" s="43" t="s">
        <v>252</v>
      </c>
    </row>
    <row r="4">
      <c r="A4" s="43" t="s">
        <v>24</v>
      </c>
      <c r="B4" s="43" t="s">
        <v>244</v>
      </c>
      <c r="C4" s="43" t="s">
        <v>245</v>
      </c>
      <c r="D4" s="43" t="s">
        <v>253</v>
      </c>
      <c r="E4" s="43" t="s">
        <v>247</v>
      </c>
      <c r="F4" s="43" t="s">
        <v>248</v>
      </c>
      <c r="G4" s="43" t="s">
        <v>249</v>
      </c>
      <c r="H4" s="43" t="s">
        <v>254</v>
      </c>
    </row>
    <row r="5">
      <c r="A5" s="43" t="s">
        <v>29</v>
      </c>
      <c r="B5" s="43" t="s">
        <v>244</v>
      </c>
      <c r="C5" s="43" t="s">
        <v>245</v>
      </c>
      <c r="D5" s="43" t="s">
        <v>255</v>
      </c>
      <c r="E5" s="43" t="s">
        <v>256</v>
      </c>
      <c r="F5" s="43" t="s">
        <v>257</v>
      </c>
      <c r="G5" s="43" t="s">
        <v>249</v>
      </c>
      <c r="H5" s="43" t="s">
        <v>258</v>
      </c>
    </row>
    <row r="6">
      <c r="A6" s="43" t="s">
        <v>11</v>
      </c>
      <c r="B6" s="43" t="s">
        <v>244</v>
      </c>
      <c r="C6" s="43" t="s">
        <v>245</v>
      </c>
      <c r="D6" s="43" t="s">
        <v>259</v>
      </c>
      <c r="E6" s="43" t="s">
        <v>256</v>
      </c>
      <c r="F6" s="43" t="s">
        <v>260</v>
      </c>
      <c r="G6" s="43" t="s">
        <v>249</v>
      </c>
      <c r="H6" s="43" t="s">
        <v>261</v>
      </c>
    </row>
    <row r="7">
      <c r="A7" s="43" t="s">
        <v>32</v>
      </c>
      <c r="B7" s="43" t="s">
        <v>244</v>
      </c>
      <c r="C7" s="43" t="s">
        <v>245</v>
      </c>
      <c r="D7" s="43" t="s">
        <v>262</v>
      </c>
      <c r="E7" s="43" t="s">
        <v>256</v>
      </c>
      <c r="F7" s="43" t="s">
        <v>263</v>
      </c>
      <c r="G7" s="43" t="s">
        <v>249</v>
      </c>
      <c r="H7" s="43" t="s">
        <v>264</v>
      </c>
    </row>
    <row r="8">
      <c r="A8" s="43" t="s">
        <v>15</v>
      </c>
      <c r="B8" s="43" t="s">
        <v>244</v>
      </c>
      <c r="C8" s="43" t="s">
        <v>245</v>
      </c>
      <c r="D8" s="43" t="s">
        <v>265</v>
      </c>
      <c r="E8" s="43" t="s">
        <v>15</v>
      </c>
      <c r="F8" s="43" t="s">
        <v>248</v>
      </c>
      <c r="G8" s="43" t="s">
        <v>249</v>
      </c>
      <c r="H8" s="43" t="s">
        <v>266</v>
      </c>
    </row>
    <row r="9">
      <c r="A9" s="43" t="s">
        <v>36</v>
      </c>
      <c r="B9" s="43" t="s">
        <v>244</v>
      </c>
      <c r="C9" s="43" t="s">
        <v>245</v>
      </c>
      <c r="D9" s="43" t="s">
        <v>267</v>
      </c>
      <c r="E9" s="43" t="s">
        <v>256</v>
      </c>
      <c r="F9" s="43" t="s">
        <v>268</v>
      </c>
      <c r="G9" s="43" t="s">
        <v>249</v>
      </c>
      <c r="H9" s="43" t="s">
        <v>269</v>
      </c>
    </row>
    <row r="10">
      <c r="A10" s="43" t="s">
        <v>38</v>
      </c>
      <c r="B10" s="43" t="s">
        <v>244</v>
      </c>
      <c r="C10" s="43" t="s">
        <v>245</v>
      </c>
      <c r="D10" s="43" t="s">
        <v>270</v>
      </c>
      <c r="E10" s="43" t="s">
        <v>256</v>
      </c>
      <c r="F10" s="43" t="s">
        <v>271</v>
      </c>
      <c r="G10" s="43" t="s">
        <v>249</v>
      </c>
      <c r="H10" s="43" t="s">
        <v>272</v>
      </c>
    </row>
    <row r="11">
      <c r="A11" s="43" t="s">
        <v>60</v>
      </c>
      <c r="B11" s="43" t="s">
        <v>244</v>
      </c>
      <c r="C11" s="43" t="s">
        <v>245</v>
      </c>
      <c r="D11" s="43" t="s">
        <v>273</v>
      </c>
      <c r="E11" s="43" t="s">
        <v>256</v>
      </c>
      <c r="F11" s="43" t="s">
        <v>274</v>
      </c>
      <c r="G11" s="43" t="s">
        <v>249</v>
      </c>
      <c r="H11" s="43" t="s">
        <v>275</v>
      </c>
    </row>
    <row r="12">
      <c r="A12" s="43" t="s">
        <v>61</v>
      </c>
      <c r="B12" s="43" t="s">
        <v>244</v>
      </c>
      <c r="C12" s="43" t="s">
        <v>245</v>
      </c>
      <c r="D12" s="43" t="s">
        <v>276</v>
      </c>
      <c r="E12" s="43" t="s">
        <v>277</v>
      </c>
      <c r="F12" s="43" t="s">
        <v>278</v>
      </c>
      <c r="G12" s="43" t="s">
        <v>249</v>
      </c>
      <c r="H12" s="43" t="s">
        <v>279</v>
      </c>
    </row>
    <row r="13">
      <c r="A13" s="43" t="s">
        <v>65</v>
      </c>
      <c r="B13" s="43" t="s">
        <v>244</v>
      </c>
      <c r="C13" s="43" t="s">
        <v>280</v>
      </c>
      <c r="D13" s="43" t="s">
        <v>281</v>
      </c>
      <c r="E13" s="43" t="s">
        <v>277</v>
      </c>
      <c r="F13" s="43" t="s">
        <v>282</v>
      </c>
      <c r="G13" s="43" t="s">
        <v>249</v>
      </c>
      <c r="H13" s="43" t="s">
        <v>283</v>
      </c>
    </row>
    <row r="14">
      <c r="A14" s="43" t="s">
        <v>70</v>
      </c>
      <c r="B14" s="43" t="s">
        <v>244</v>
      </c>
      <c r="C14" s="43" t="s">
        <v>280</v>
      </c>
      <c r="D14" s="43" t="s">
        <v>284</v>
      </c>
      <c r="E14" s="43" t="s">
        <v>277</v>
      </c>
      <c r="F14" s="43" t="s">
        <v>282</v>
      </c>
      <c r="G14" s="43" t="s">
        <v>249</v>
      </c>
      <c r="H14" s="43" t="s">
        <v>283</v>
      </c>
    </row>
    <row r="15">
      <c r="A15" s="43" t="s">
        <v>72</v>
      </c>
      <c r="B15" s="43" t="s">
        <v>244</v>
      </c>
      <c r="C15" s="43" t="s">
        <v>280</v>
      </c>
      <c r="D15" s="43" t="s">
        <v>285</v>
      </c>
      <c r="E15" s="43" t="s">
        <v>277</v>
      </c>
      <c r="F15" s="43" t="s">
        <v>282</v>
      </c>
      <c r="G15" s="43" t="s">
        <v>249</v>
      </c>
      <c r="H15" s="43" t="s">
        <v>283</v>
      </c>
    </row>
    <row r="16">
      <c r="A16" s="43" t="s">
        <v>76</v>
      </c>
      <c r="B16" s="43" t="s">
        <v>244</v>
      </c>
      <c r="C16" s="43" t="s">
        <v>280</v>
      </c>
      <c r="D16" s="43" t="s">
        <v>286</v>
      </c>
      <c r="E16" s="43" t="s">
        <v>277</v>
      </c>
      <c r="F16" s="43" t="s">
        <v>282</v>
      </c>
      <c r="G16" s="43" t="s">
        <v>249</v>
      </c>
      <c r="H16" s="43" t="s">
        <v>283</v>
      </c>
    </row>
    <row r="17">
      <c r="A17" s="43" t="s">
        <v>78</v>
      </c>
      <c r="B17" s="43" t="s">
        <v>244</v>
      </c>
      <c r="C17" s="43" t="s">
        <v>280</v>
      </c>
      <c r="D17" s="43" t="s">
        <v>287</v>
      </c>
      <c r="E17" s="43" t="s">
        <v>277</v>
      </c>
      <c r="F17" s="43" t="s">
        <v>282</v>
      </c>
      <c r="G17" s="43" t="s">
        <v>249</v>
      </c>
      <c r="H17" s="43" t="s">
        <v>283</v>
      </c>
    </row>
    <row r="18">
      <c r="A18" s="43" t="s">
        <v>79</v>
      </c>
      <c r="B18" s="43" t="s">
        <v>244</v>
      </c>
      <c r="C18" s="43" t="s">
        <v>280</v>
      </c>
      <c r="D18" s="43" t="s">
        <v>288</v>
      </c>
      <c r="E18" s="43" t="s">
        <v>277</v>
      </c>
      <c r="F18" s="43" t="s">
        <v>282</v>
      </c>
      <c r="G18" s="43" t="s">
        <v>249</v>
      </c>
      <c r="H18" s="43" t="s">
        <v>283</v>
      </c>
    </row>
    <row r="19">
      <c r="A19" s="43" t="s">
        <v>81</v>
      </c>
      <c r="B19" s="43" t="s">
        <v>244</v>
      </c>
      <c r="C19" s="43" t="s">
        <v>289</v>
      </c>
      <c r="D19" s="43" t="s">
        <v>290</v>
      </c>
      <c r="E19" s="43" t="s">
        <v>277</v>
      </c>
      <c r="F19" s="43" t="s">
        <v>282</v>
      </c>
      <c r="G19" s="43" t="s">
        <v>249</v>
      </c>
      <c r="H19" s="43" t="s">
        <v>291</v>
      </c>
    </row>
    <row r="20">
      <c r="A20" s="43" t="s">
        <v>83</v>
      </c>
      <c r="B20" s="43" t="s">
        <v>244</v>
      </c>
      <c r="C20" s="43" t="s">
        <v>289</v>
      </c>
      <c r="D20" s="43" t="s">
        <v>292</v>
      </c>
      <c r="E20" s="43" t="s">
        <v>277</v>
      </c>
      <c r="F20" s="43" t="s">
        <v>282</v>
      </c>
      <c r="G20" s="43" t="s">
        <v>249</v>
      </c>
      <c r="H20" s="43" t="s">
        <v>291</v>
      </c>
    </row>
    <row r="21" ht="15.75" customHeight="1">
      <c r="A21" s="43" t="s">
        <v>84</v>
      </c>
      <c r="B21" s="43" t="s">
        <v>244</v>
      </c>
      <c r="C21" s="43" t="s">
        <v>289</v>
      </c>
      <c r="D21" s="43" t="s">
        <v>293</v>
      </c>
      <c r="E21" s="43" t="s">
        <v>277</v>
      </c>
      <c r="F21" s="43" t="s">
        <v>282</v>
      </c>
      <c r="G21" s="43" t="s">
        <v>249</v>
      </c>
      <c r="H21" s="43" t="s">
        <v>291</v>
      </c>
    </row>
    <row r="22" ht="15.75" customHeight="1">
      <c r="A22" s="43" t="s">
        <v>86</v>
      </c>
      <c r="B22" s="43" t="s">
        <v>244</v>
      </c>
      <c r="C22" s="43" t="s">
        <v>289</v>
      </c>
      <c r="D22" s="43" t="s">
        <v>294</v>
      </c>
      <c r="E22" s="43" t="s">
        <v>277</v>
      </c>
      <c r="F22" s="43" t="s">
        <v>282</v>
      </c>
      <c r="G22" s="43" t="s">
        <v>249</v>
      </c>
      <c r="H22" s="43" t="s">
        <v>291</v>
      </c>
    </row>
    <row r="23" ht="15.75" customHeight="1">
      <c r="A23" s="43" t="s">
        <v>87</v>
      </c>
      <c r="B23" s="43" t="s">
        <v>244</v>
      </c>
      <c r="C23" s="43" t="s">
        <v>289</v>
      </c>
      <c r="D23" s="43" t="s">
        <v>295</v>
      </c>
      <c r="E23" s="43" t="s">
        <v>277</v>
      </c>
      <c r="F23" s="43" t="s">
        <v>282</v>
      </c>
      <c r="G23" s="43" t="s">
        <v>249</v>
      </c>
      <c r="H23" s="43" t="s">
        <v>291</v>
      </c>
    </row>
    <row r="24" ht="15.75" customHeight="1">
      <c r="A24" s="43" t="s">
        <v>88</v>
      </c>
      <c r="B24" s="43" t="s">
        <v>244</v>
      </c>
      <c r="C24" s="43" t="s">
        <v>289</v>
      </c>
      <c r="D24" s="43" t="s">
        <v>296</v>
      </c>
      <c r="E24" s="43" t="s">
        <v>277</v>
      </c>
      <c r="F24" s="43" t="s">
        <v>282</v>
      </c>
      <c r="G24" s="43" t="s">
        <v>249</v>
      </c>
      <c r="H24" s="43" t="s">
        <v>291</v>
      </c>
    </row>
    <row r="25" ht="15.75" customHeight="1">
      <c r="A25" s="43" t="s">
        <v>90</v>
      </c>
      <c r="B25" s="43" t="s">
        <v>244</v>
      </c>
      <c r="C25" s="43" t="s">
        <v>289</v>
      </c>
      <c r="D25" s="43" t="s">
        <v>297</v>
      </c>
      <c r="E25" s="43" t="s">
        <v>277</v>
      </c>
      <c r="F25" s="43" t="s">
        <v>282</v>
      </c>
      <c r="G25" s="43" t="s">
        <v>249</v>
      </c>
      <c r="H25" s="43" t="s">
        <v>291</v>
      </c>
    </row>
    <row r="26" ht="15.75" customHeight="1">
      <c r="A26" s="43" t="s">
        <v>91</v>
      </c>
      <c r="B26" s="43" t="s">
        <v>244</v>
      </c>
      <c r="C26" s="43" t="s">
        <v>289</v>
      </c>
      <c r="D26" s="43" t="s">
        <v>298</v>
      </c>
      <c r="E26" s="43" t="s">
        <v>277</v>
      </c>
      <c r="F26" s="43" t="s">
        <v>282</v>
      </c>
      <c r="G26" s="43" t="s">
        <v>249</v>
      </c>
      <c r="H26" s="43" t="s">
        <v>291</v>
      </c>
    </row>
    <row r="27" ht="15.75" customHeight="1">
      <c r="A27" s="43" t="s">
        <v>93</v>
      </c>
      <c r="B27" s="43" t="s">
        <v>244</v>
      </c>
      <c r="C27" s="43" t="s">
        <v>299</v>
      </c>
      <c r="D27" s="43" t="s">
        <v>300</v>
      </c>
      <c r="E27" s="43" t="s">
        <v>301</v>
      </c>
      <c r="F27" s="43" t="s">
        <v>302</v>
      </c>
      <c r="G27" s="43" t="s">
        <v>303</v>
      </c>
      <c r="H27" s="43" t="s">
        <v>304</v>
      </c>
    </row>
    <row r="28" ht="15.75" customHeight="1">
      <c r="A28" s="43" t="s">
        <v>95</v>
      </c>
      <c r="B28" s="43" t="s">
        <v>244</v>
      </c>
      <c r="C28" s="43" t="s">
        <v>299</v>
      </c>
      <c r="D28" s="43" t="s">
        <v>305</v>
      </c>
      <c r="E28" s="43" t="s">
        <v>301</v>
      </c>
      <c r="F28" s="43" t="s">
        <v>302</v>
      </c>
      <c r="G28" s="43" t="s">
        <v>303</v>
      </c>
      <c r="H28" s="43" t="s">
        <v>304</v>
      </c>
    </row>
    <row r="29" ht="15.75" customHeight="1">
      <c r="A29" s="43" t="s">
        <v>98</v>
      </c>
      <c r="B29" s="43" t="s">
        <v>244</v>
      </c>
      <c r="C29" s="43" t="s">
        <v>299</v>
      </c>
      <c r="D29" s="43" t="s">
        <v>306</v>
      </c>
      <c r="E29" s="43" t="s">
        <v>301</v>
      </c>
      <c r="F29" s="43" t="s">
        <v>302</v>
      </c>
      <c r="G29" s="43" t="s">
        <v>303</v>
      </c>
      <c r="H29" s="43" t="s">
        <v>307</v>
      </c>
    </row>
    <row r="30" ht="15.75" customHeight="1">
      <c r="A30" s="43" t="s">
        <v>100</v>
      </c>
      <c r="B30" s="43" t="s">
        <v>244</v>
      </c>
      <c r="C30" s="43" t="s">
        <v>299</v>
      </c>
      <c r="D30" s="43" t="s">
        <v>308</v>
      </c>
      <c r="E30" s="43" t="s">
        <v>301</v>
      </c>
      <c r="F30" s="43" t="s">
        <v>302</v>
      </c>
      <c r="G30" s="43" t="s">
        <v>303</v>
      </c>
      <c r="H30" s="43" t="s">
        <v>307</v>
      </c>
    </row>
    <row r="31" ht="15.75" customHeight="1">
      <c r="A31" s="43" t="s">
        <v>102</v>
      </c>
      <c r="B31" s="43" t="s">
        <v>244</v>
      </c>
      <c r="C31" s="43" t="s">
        <v>299</v>
      </c>
      <c r="D31" s="43" t="s">
        <v>309</v>
      </c>
      <c r="E31" s="43" t="s">
        <v>301</v>
      </c>
      <c r="F31" s="43" t="s">
        <v>302</v>
      </c>
      <c r="G31" s="43" t="s">
        <v>303</v>
      </c>
      <c r="H31" s="43" t="s">
        <v>310</v>
      </c>
    </row>
    <row r="32" ht="15.75" customHeight="1">
      <c r="A32" s="43" t="s">
        <v>103</v>
      </c>
      <c r="B32" s="43" t="s">
        <v>244</v>
      </c>
      <c r="C32" s="43" t="s">
        <v>311</v>
      </c>
      <c r="D32" s="43" t="s">
        <v>312</v>
      </c>
      <c r="E32" s="43" t="s">
        <v>277</v>
      </c>
      <c r="F32" s="43" t="s">
        <v>278</v>
      </c>
      <c r="G32" s="43" t="s">
        <v>249</v>
      </c>
      <c r="H32" s="43" t="s">
        <v>313</v>
      </c>
    </row>
    <row r="33" ht="15.75" customHeight="1">
      <c r="A33" s="43" t="s">
        <v>105</v>
      </c>
      <c r="B33" s="43" t="s">
        <v>244</v>
      </c>
      <c r="C33" s="43" t="s">
        <v>311</v>
      </c>
      <c r="D33" s="43" t="s">
        <v>314</v>
      </c>
      <c r="E33" s="43" t="s">
        <v>315</v>
      </c>
      <c r="F33" s="43" t="s">
        <v>316</v>
      </c>
      <c r="G33" s="43" t="s">
        <v>317</v>
      </c>
      <c r="H33" s="43" t="s">
        <v>318</v>
      </c>
    </row>
    <row r="34" ht="15.75" customHeight="1">
      <c r="A34" s="43" t="s">
        <v>106</v>
      </c>
      <c r="B34" s="43" t="s">
        <v>244</v>
      </c>
      <c r="C34" s="43" t="s">
        <v>311</v>
      </c>
      <c r="D34" s="43" t="s">
        <v>319</v>
      </c>
      <c r="E34" s="43" t="s">
        <v>315</v>
      </c>
      <c r="F34" s="43" t="s">
        <v>320</v>
      </c>
      <c r="G34" s="43" t="s">
        <v>317</v>
      </c>
      <c r="H34" s="43" t="s">
        <v>318</v>
      </c>
    </row>
    <row r="35" ht="15.75" customHeight="1">
      <c r="A35" s="43" t="s">
        <v>107</v>
      </c>
      <c r="B35" s="43" t="s">
        <v>244</v>
      </c>
      <c r="C35" s="43" t="s">
        <v>321</v>
      </c>
      <c r="D35" s="43" t="s">
        <v>322</v>
      </c>
      <c r="E35" s="43" t="s">
        <v>277</v>
      </c>
      <c r="F35" s="43" t="s">
        <v>278</v>
      </c>
      <c r="G35" s="43" t="s">
        <v>249</v>
      </c>
      <c r="H35" s="43" t="s">
        <v>323</v>
      </c>
    </row>
    <row r="36" ht="15.75" customHeight="1">
      <c r="A36" s="43" t="s">
        <v>108</v>
      </c>
      <c r="B36" s="43" t="s">
        <v>244</v>
      </c>
      <c r="C36" s="43" t="s">
        <v>321</v>
      </c>
      <c r="D36" s="43" t="s">
        <v>324</v>
      </c>
      <c r="E36" s="43" t="s">
        <v>247</v>
      </c>
      <c r="F36" s="43" t="s">
        <v>248</v>
      </c>
      <c r="G36" s="43" t="s">
        <v>317</v>
      </c>
      <c r="H36" s="43" t="s">
        <v>325</v>
      </c>
    </row>
    <row r="37" ht="15.75" customHeight="1">
      <c r="A37" s="43" t="s">
        <v>4</v>
      </c>
      <c r="B37" s="43" t="s">
        <v>223</v>
      </c>
      <c r="C37" s="43" t="s">
        <v>272</v>
      </c>
      <c r="D37" s="43" t="s">
        <v>326</v>
      </c>
      <c r="E37" s="43" t="s">
        <v>247</v>
      </c>
      <c r="F37" s="43" t="s">
        <v>248</v>
      </c>
      <c r="G37" s="43" t="s">
        <v>249</v>
      </c>
      <c r="H37" s="43" t="s">
        <v>327</v>
      </c>
    </row>
    <row r="38" ht="15.75" customHeight="1">
      <c r="A38" s="43" t="s">
        <v>3</v>
      </c>
      <c r="B38" s="43" t="s">
        <v>223</v>
      </c>
      <c r="C38" s="43" t="s">
        <v>272</v>
      </c>
      <c r="D38" s="43" t="s">
        <v>328</v>
      </c>
      <c r="E38" s="43" t="s">
        <v>247</v>
      </c>
      <c r="F38" s="43" t="s">
        <v>329</v>
      </c>
      <c r="G38" s="43" t="s">
        <v>249</v>
      </c>
      <c r="H38" s="43" t="s">
        <v>330</v>
      </c>
    </row>
    <row r="39" ht="15.75" customHeight="1">
      <c r="A39" s="43" t="s">
        <v>15</v>
      </c>
      <c r="B39" s="43" t="s">
        <v>223</v>
      </c>
      <c r="C39" s="43" t="s">
        <v>272</v>
      </c>
      <c r="D39" s="43" t="s">
        <v>331</v>
      </c>
      <c r="E39" s="43" t="s">
        <v>15</v>
      </c>
      <c r="F39" s="43" t="s">
        <v>248</v>
      </c>
      <c r="G39" s="43" t="s">
        <v>249</v>
      </c>
      <c r="H39" s="43" t="s">
        <v>272</v>
      </c>
    </row>
    <row r="40" ht="15.75" customHeight="1">
      <c r="A40" s="43" t="s">
        <v>19</v>
      </c>
      <c r="B40" s="43" t="s">
        <v>223</v>
      </c>
      <c r="C40" s="43" t="s">
        <v>272</v>
      </c>
      <c r="D40" s="43" t="s">
        <v>332</v>
      </c>
      <c r="E40" s="43" t="s">
        <v>247</v>
      </c>
      <c r="F40" s="43" t="s">
        <v>248</v>
      </c>
      <c r="G40" s="43" t="s">
        <v>249</v>
      </c>
      <c r="H40" s="43" t="s">
        <v>333</v>
      </c>
    </row>
    <row r="41" ht="15.75" customHeight="1">
      <c r="A41" s="43" t="s">
        <v>22</v>
      </c>
      <c r="B41" s="43" t="s">
        <v>223</v>
      </c>
      <c r="C41" s="43" t="s">
        <v>272</v>
      </c>
      <c r="D41" s="43" t="s">
        <v>334</v>
      </c>
      <c r="E41" s="43" t="s">
        <v>256</v>
      </c>
      <c r="F41" s="43" t="s">
        <v>274</v>
      </c>
      <c r="G41" s="43" t="s">
        <v>249</v>
      </c>
      <c r="H41" s="43" t="s">
        <v>335</v>
      </c>
    </row>
    <row r="42" ht="15.75" customHeight="1">
      <c r="A42" s="43" t="s">
        <v>25</v>
      </c>
      <c r="B42" s="43" t="s">
        <v>223</v>
      </c>
      <c r="C42" s="43" t="s">
        <v>272</v>
      </c>
      <c r="D42" s="43" t="s">
        <v>336</v>
      </c>
      <c r="E42" s="43" t="s">
        <v>277</v>
      </c>
      <c r="F42" s="43" t="s">
        <v>278</v>
      </c>
      <c r="G42" s="43" t="s">
        <v>249</v>
      </c>
      <c r="H42" s="43" t="s">
        <v>337</v>
      </c>
    </row>
    <row r="43" ht="15.75" customHeight="1">
      <c r="A43" s="43" t="s">
        <v>31</v>
      </c>
      <c r="B43" s="43" t="s">
        <v>223</v>
      </c>
      <c r="C43" s="43" t="s">
        <v>338</v>
      </c>
      <c r="D43" s="43" t="s">
        <v>339</v>
      </c>
      <c r="E43" s="43" t="s">
        <v>256</v>
      </c>
      <c r="F43" s="43" t="s">
        <v>340</v>
      </c>
      <c r="G43" s="43" t="s">
        <v>249</v>
      </c>
      <c r="H43" s="43" t="s">
        <v>341</v>
      </c>
    </row>
    <row r="44" ht="15.75" customHeight="1">
      <c r="A44" s="43" t="s">
        <v>44</v>
      </c>
      <c r="B44" s="43" t="s">
        <v>223</v>
      </c>
      <c r="C44" s="43" t="s">
        <v>338</v>
      </c>
      <c r="D44" s="43" t="s">
        <v>342</v>
      </c>
      <c r="E44" s="43" t="s">
        <v>256</v>
      </c>
      <c r="F44" s="43" t="s">
        <v>343</v>
      </c>
      <c r="G44" s="43" t="s">
        <v>249</v>
      </c>
      <c r="H44" s="43" t="s">
        <v>344</v>
      </c>
    </row>
    <row r="45" ht="15.75" customHeight="1">
      <c r="A45" s="43" t="s">
        <v>47</v>
      </c>
      <c r="B45" s="43" t="s">
        <v>223</v>
      </c>
      <c r="C45" s="43" t="s">
        <v>338</v>
      </c>
      <c r="D45" s="43" t="s">
        <v>345</v>
      </c>
      <c r="E45" s="43" t="s">
        <v>256</v>
      </c>
      <c r="F45" s="43" t="s">
        <v>346</v>
      </c>
      <c r="G45" s="43" t="s">
        <v>249</v>
      </c>
      <c r="H45" s="43" t="s">
        <v>347</v>
      </c>
    </row>
    <row r="46" ht="15.75" customHeight="1">
      <c r="A46" s="43" t="s">
        <v>49</v>
      </c>
      <c r="B46" s="43" t="s">
        <v>223</v>
      </c>
      <c r="C46" s="43" t="s">
        <v>338</v>
      </c>
      <c r="D46" s="43" t="s">
        <v>348</v>
      </c>
      <c r="E46" s="43" t="s">
        <v>315</v>
      </c>
      <c r="F46" s="43" t="s">
        <v>320</v>
      </c>
      <c r="G46" s="43" t="s">
        <v>249</v>
      </c>
      <c r="H46" s="43" t="s">
        <v>349</v>
      </c>
    </row>
    <row r="47" ht="15.75" customHeight="1">
      <c r="A47" s="43" t="s">
        <v>51</v>
      </c>
      <c r="B47" s="43" t="s">
        <v>223</v>
      </c>
      <c r="C47" s="43" t="s">
        <v>350</v>
      </c>
      <c r="D47" s="43" t="s">
        <v>351</v>
      </c>
      <c r="E47" s="43" t="s">
        <v>352</v>
      </c>
      <c r="F47" s="43" t="s">
        <v>353</v>
      </c>
      <c r="G47" s="43" t="s">
        <v>249</v>
      </c>
      <c r="H47" s="43" t="s">
        <v>354</v>
      </c>
    </row>
    <row r="48" ht="15.75" customHeight="1">
      <c r="A48" s="43" t="s">
        <v>53</v>
      </c>
      <c r="B48" s="43" t="s">
        <v>223</v>
      </c>
      <c r="C48" s="43" t="s">
        <v>350</v>
      </c>
      <c r="D48" s="43" t="s">
        <v>355</v>
      </c>
      <c r="E48" s="43" t="s">
        <v>352</v>
      </c>
      <c r="F48" s="43" t="s">
        <v>353</v>
      </c>
      <c r="G48" s="43" t="s">
        <v>249</v>
      </c>
      <c r="H48" s="43" t="s">
        <v>356</v>
      </c>
    </row>
    <row r="49" ht="15.75" customHeight="1">
      <c r="A49" s="43" t="s">
        <v>56</v>
      </c>
      <c r="B49" s="43" t="s">
        <v>223</v>
      </c>
      <c r="C49" s="44" t="s">
        <v>357</v>
      </c>
      <c r="D49" s="43" t="s">
        <v>358</v>
      </c>
      <c r="E49" s="43" t="s">
        <v>352</v>
      </c>
      <c r="F49" s="43" t="s">
        <v>353</v>
      </c>
      <c r="G49" s="43" t="s">
        <v>249</v>
      </c>
      <c r="H49" s="43" t="s">
        <v>359</v>
      </c>
    </row>
    <row r="50" ht="15.75" customHeight="1">
      <c r="A50" s="43" t="s">
        <v>57</v>
      </c>
      <c r="B50" s="43" t="s">
        <v>223</v>
      </c>
      <c r="C50" s="43" t="s">
        <v>350</v>
      </c>
      <c r="D50" s="43" t="s">
        <v>360</v>
      </c>
      <c r="E50" s="43" t="s">
        <v>361</v>
      </c>
      <c r="F50" s="43" t="s">
        <v>362</v>
      </c>
      <c r="G50" s="43" t="s">
        <v>249</v>
      </c>
      <c r="H50" s="43" t="s">
        <v>363</v>
      </c>
    </row>
    <row r="51" ht="15.75" customHeight="1">
      <c r="A51" s="43" t="s">
        <v>58</v>
      </c>
      <c r="B51" s="43" t="s">
        <v>223</v>
      </c>
      <c r="C51" s="43" t="s">
        <v>350</v>
      </c>
      <c r="D51" s="43" t="s">
        <v>364</v>
      </c>
      <c r="E51" s="43" t="s">
        <v>352</v>
      </c>
      <c r="F51" s="43" t="s">
        <v>353</v>
      </c>
      <c r="G51" s="43" t="s">
        <v>249</v>
      </c>
      <c r="H51" s="43" t="s">
        <v>365</v>
      </c>
    </row>
    <row r="52" ht="15.75" customHeight="1">
      <c r="A52" s="43" t="s">
        <v>59</v>
      </c>
      <c r="B52" s="43" t="s">
        <v>223</v>
      </c>
      <c r="C52" s="43" t="s">
        <v>350</v>
      </c>
      <c r="D52" s="43" t="s">
        <v>366</v>
      </c>
      <c r="E52" s="43" t="s">
        <v>352</v>
      </c>
      <c r="F52" s="43" t="s">
        <v>353</v>
      </c>
      <c r="G52" s="43" t="s">
        <v>249</v>
      </c>
      <c r="H52" s="43" t="s">
        <v>367</v>
      </c>
    </row>
    <row r="53" ht="15.75" customHeight="1">
      <c r="A53" s="43" t="s">
        <v>64</v>
      </c>
      <c r="B53" s="43" t="s">
        <v>223</v>
      </c>
      <c r="C53" s="43" t="s">
        <v>350</v>
      </c>
      <c r="D53" s="43" t="s">
        <v>368</v>
      </c>
      <c r="E53" s="43" t="s">
        <v>277</v>
      </c>
      <c r="F53" s="43" t="s">
        <v>278</v>
      </c>
      <c r="G53" s="43" t="s">
        <v>249</v>
      </c>
      <c r="H53" s="43" t="s">
        <v>369</v>
      </c>
    </row>
    <row r="54" ht="15.75" customHeight="1">
      <c r="A54" s="43" t="s">
        <v>67</v>
      </c>
      <c r="B54" s="43" t="s">
        <v>223</v>
      </c>
      <c r="C54" s="43" t="s">
        <v>370</v>
      </c>
      <c r="D54" s="43" t="s">
        <v>371</v>
      </c>
      <c r="E54" s="43" t="s">
        <v>372</v>
      </c>
      <c r="F54" s="43" t="s">
        <v>373</v>
      </c>
      <c r="G54" s="43" t="s">
        <v>249</v>
      </c>
      <c r="H54" s="43" t="s">
        <v>374</v>
      </c>
    </row>
    <row r="55" ht="15.75" customHeight="1">
      <c r="A55" s="43" t="s">
        <v>69</v>
      </c>
      <c r="B55" s="43" t="s">
        <v>223</v>
      </c>
      <c r="C55" s="43" t="s">
        <v>370</v>
      </c>
      <c r="D55" s="43" t="s">
        <v>375</v>
      </c>
      <c r="E55" s="43" t="s">
        <v>352</v>
      </c>
      <c r="F55" s="43" t="s">
        <v>353</v>
      </c>
      <c r="G55" s="43" t="s">
        <v>249</v>
      </c>
      <c r="H55" s="43" t="s">
        <v>376</v>
      </c>
    </row>
    <row r="56" ht="15.75" customHeight="1">
      <c r="A56" s="43" t="s">
        <v>71</v>
      </c>
      <c r="B56" s="43" t="s">
        <v>223</v>
      </c>
      <c r="C56" s="43" t="s">
        <v>370</v>
      </c>
      <c r="D56" s="43" t="s">
        <v>377</v>
      </c>
      <c r="E56" s="43" t="s">
        <v>256</v>
      </c>
      <c r="F56" s="43" t="s">
        <v>378</v>
      </c>
      <c r="G56" s="43" t="s">
        <v>249</v>
      </c>
      <c r="H56" s="43" t="s">
        <v>379</v>
      </c>
    </row>
    <row r="57" ht="15.75" customHeight="1">
      <c r="A57" s="43" t="s">
        <v>73</v>
      </c>
      <c r="B57" s="43" t="s">
        <v>223</v>
      </c>
      <c r="C57" s="43" t="s">
        <v>370</v>
      </c>
      <c r="D57" s="43" t="s">
        <v>380</v>
      </c>
      <c r="E57" s="43" t="s">
        <v>256</v>
      </c>
      <c r="F57" s="43" t="s">
        <v>381</v>
      </c>
      <c r="G57" s="43" t="s">
        <v>249</v>
      </c>
      <c r="H57" s="43" t="s">
        <v>382</v>
      </c>
    </row>
    <row r="58" ht="15.75" customHeight="1">
      <c r="A58" s="43" t="s">
        <v>75</v>
      </c>
      <c r="B58" s="43" t="s">
        <v>223</v>
      </c>
      <c r="C58" s="43" t="s">
        <v>383</v>
      </c>
      <c r="D58" s="43" t="s">
        <v>384</v>
      </c>
      <c r="E58" s="43" t="s">
        <v>247</v>
      </c>
      <c r="F58" s="43" t="s">
        <v>248</v>
      </c>
      <c r="G58" s="43" t="s">
        <v>317</v>
      </c>
      <c r="H58" s="43" t="s">
        <v>385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30.0"/>
    <col customWidth="1" min="14" max="25" width="8.71"/>
  </cols>
  <sheetData>
    <row r="1">
      <c r="A1" s="35" t="s">
        <v>29</v>
      </c>
      <c r="B1" s="35" t="s">
        <v>11</v>
      </c>
      <c r="C1" s="35" t="s">
        <v>32</v>
      </c>
      <c r="D1" s="35" t="s">
        <v>36</v>
      </c>
      <c r="E1" s="35" t="s">
        <v>38</v>
      </c>
      <c r="F1" s="35" t="s">
        <v>386</v>
      </c>
      <c r="G1" s="35" t="s">
        <v>31</v>
      </c>
      <c r="H1" s="35" t="s">
        <v>44</v>
      </c>
      <c r="I1" s="35" t="s">
        <v>47</v>
      </c>
      <c r="J1" s="35" t="s">
        <v>387</v>
      </c>
      <c r="K1" s="35" t="s">
        <v>71</v>
      </c>
      <c r="L1" s="35" t="s">
        <v>73</v>
      </c>
      <c r="M1" s="35" t="s">
        <v>388</v>
      </c>
    </row>
    <row r="2">
      <c r="A2" s="13" t="s">
        <v>117</v>
      </c>
      <c r="B2" s="13" t="s">
        <v>63</v>
      </c>
      <c r="C2" s="13" t="s">
        <v>118</v>
      </c>
      <c r="D2" s="13" t="s">
        <v>92</v>
      </c>
      <c r="E2" s="13" t="s">
        <v>96</v>
      </c>
      <c r="F2" s="13" t="s">
        <v>89</v>
      </c>
      <c r="G2" s="13" t="s">
        <v>226</v>
      </c>
      <c r="H2" s="13" t="s">
        <v>389</v>
      </c>
      <c r="I2" s="13" t="s">
        <v>101</v>
      </c>
      <c r="J2" s="13" t="s">
        <v>390</v>
      </c>
      <c r="K2" s="13" t="s">
        <v>391</v>
      </c>
      <c r="L2" s="13" t="s">
        <v>392</v>
      </c>
      <c r="M2" s="13" t="s">
        <v>112</v>
      </c>
    </row>
    <row r="3">
      <c r="A3" s="13" t="s">
        <v>393</v>
      </c>
      <c r="B3" s="13" t="s">
        <v>164</v>
      </c>
      <c r="C3" s="13" t="s">
        <v>85</v>
      </c>
      <c r="D3" s="13" t="s">
        <v>119</v>
      </c>
      <c r="E3" s="13" t="s">
        <v>126</v>
      </c>
      <c r="F3" s="13" t="s">
        <v>125</v>
      </c>
      <c r="G3" s="13" t="s">
        <v>394</v>
      </c>
      <c r="H3" s="13" t="s">
        <v>99</v>
      </c>
      <c r="I3" s="13" t="s">
        <v>395</v>
      </c>
      <c r="J3" s="13" t="s">
        <v>396</v>
      </c>
      <c r="K3" s="9" t="s">
        <v>397</v>
      </c>
      <c r="L3" s="13" t="s">
        <v>110</v>
      </c>
      <c r="M3" s="13" t="s">
        <v>398</v>
      </c>
    </row>
    <row r="4">
      <c r="A4" s="13" t="s">
        <v>82</v>
      </c>
      <c r="B4" s="13" t="s">
        <v>181</v>
      </c>
      <c r="C4" s="13" t="s">
        <v>399</v>
      </c>
      <c r="F4" s="13" t="s">
        <v>134</v>
      </c>
      <c r="G4" s="13" t="s">
        <v>97</v>
      </c>
      <c r="H4" s="13" t="s">
        <v>400</v>
      </c>
      <c r="I4" s="13" t="s">
        <v>401</v>
      </c>
      <c r="J4" s="13" t="s">
        <v>402</v>
      </c>
      <c r="K4" s="9" t="s">
        <v>230</v>
      </c>
      <c r="L4" s="13" t="s">
        <v>403</v>
      </c>
      <c r="M4" s="13" t="s">
        <v>404</v>
      </c>
    </row>
    <row r="5">
      <c r="A5" s="13" t="s">
        <v>405</v>
      </c>
      <c r="C5" s="13" t="s">
        <v>406</v>
      </c>
      <c r="G5" s="13" t="s">
        <v>407</v>
      </c>
      <c r="H5" s="13" t="s">
        <v>408</v>
      </c>
      <c r="I5" s="13" t="s">
        <v>409</v>
      </c>
      <c r="J5" s="13" t="s">
        <v>410</v>
      </c>
      <c r="K5" s="13" t="s">
        <v>411</v>
      </c>
      <c r="M5" s="13" t="s">
        <v>412</v>
      </c>
    </row>
    <row r="6">
      <c r="A6" s="13" t="s">
        <v>177</v>
      </c>
      <c r="H6" s="13" t="s">
        <v>413</v>
      </c>
      <c r="I6" s="13" t="s">
        <v>413</v>
      </c>
      <c r="J6" s="13" t="s">
        <v>414</v>
      </c>
      <c r="M6" s="13" t="s">
        <v>201</v>
      </c>
    </row>
    <row r="7">
      <c r="A7" s="13" t="s">
        <v>186</v>
      </c>
      <c r="J7" s="13" t="s">
        <v>415</v>
      </c>
    </row>
    <row r="8">
      <c r="A8" s="13" t="s">
        <v>416</v>
      </c>
      <c r="J8" s="13" t="s">
        <v>101</v>
      </c>
    </row>
    <row r="9">
      <c r="A9" s="13" t="s">
        <v>417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2026-10-28T13:04:31Z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